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F:\DEV\tutorials\management\"/>
    </mc:Choice>
  </mc:AlternateContent>
  <xr:revisionPtr revIDLastSave="0" documentId="13_ncr:1_{022DE30B-78B3-4D78-B6DC-2EC5D39EB084}" xr6:coauthVersionLast="47" xr6:coauthVersionMax="47" xr10:uidLastSave="{00000000-0000-0000-0000-000000000000}"/>
  <bookViews>
    <workbookView xWindow="-93" yWindow="-93" windowWidth="25786" windowHeight="13986" xr2:uid="{00000000-000D-0000-FFFF-FFFF00000000}"/>
  </bookViews>
  <sheets>
    <sheet name="WBS" sheetId="1" r:id="rId1"/>
    <sheet name="Data" sheetId="2" r:id="rId2"/>
  </sheets>
  <definedNames>
    <definedName name="_xlnm._FilterDatabase" localSheetId="0" hidden="1">WBS!$A$2:$EL$61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G6" i="1" s="1"/>
  <c r="AA2" i="1"/>
  <c r="CM2" i="1"/>
  <c r="EJ2" i="1"/>
  <c r="DH2" i="1"/>
  <c r="EH2" i="1"/>
  <c r="CF2" i="1"/>
  <c r="BC2" i="1"/>
  <c r="AW2" i="1"/>
  <c r="AS2" i="1"/>
  <c r="DE2" i="1"/>
  <c r="CA2" i="1"/>
  <c r="AP2" i="1"/>
  <c r="BR2" i="1"/>
  <c r="CJ2" i="1"/>
  <c r="DR2" i="1"/>
  <c r="CU2" i="1"/>
  <c r="AO2" i="1"/>
  <c r="BK2" i="1"/>
  <c r="CK2" i="1"/>
  <c r="DM2" i="1"/>
  <c r="BV2" i="1"/>
  <c r="DP2" i="1"/>
  <c r="DC2" i="1"/>
  <c r="BU2" i="1"/>
  <c r="CV2" i="1"/>
  <c r="DQ2" i="1"/>
  <c r="DU2" i="1"/>
  <c r="DB2" i="1"/>
  <c r="BE2" i="1"/>
  <c r="AK2" i="1"/>
  <c r="BJ2" i="1"/>
  <c r="AI2" i="1"/>
  <c r="DF2" i="1"/>
  <c r="AB2" i="1"/>
  <c r="CN2" i="1"/>
  <c r="BA2" i="1"/>
  <c r="DG2" i="1"/>
  <c r="BZ2" i="1"/>
  <c r="EF2" i="1"/>
  <c r="ED2" i="1"/>
  <c r="AJ2" i="1"/>
  <c r="CQ2" i="1"/>
  <c r="BI2" i="1"/>
  <c r="AV2" i="1"/>
  <c r="CP2" i="1"/>
  <c r="AF2" i="1"/>
  <c r="CW2" i="1"/>
  <c r="BD2" i="1"/>
  <c r="AQ2" i="1"/>
  <c r="AY2" i="1"/>
  <c r="DK2" i="1"/>
  <c r="AM2" i="1"/>
  <c r="DA2" i="1"/>
  <c r="AR2" i="1"/>
  <c r="DD2" i="1"/>
  <c r="DO2" i="1"/>
  <c r="AX2" i="1"/>
  <c r="BQ2" i="1"/>
  <c r="EC2" i="1"/>
  <c r="BT2" i="1"/>
  <c r="AD2" i="1"/>
  <c r="DV2" i="1"/>
  <c r="CC2" i="1"/>
  <c r="AH2" i="1"/>
  <c r="CY2" i="1"/>
  <c r="CG2" i="1"/>
  <c r="AT2" i="1"/>
  <c r="BG2" i="1"/>
  <c r="DS2" i="1"/>
  <c r="BS2" i="1"/>
  <c r="EG2" i="1"/>
  <c r="AZ2" i="1"/>
  <c r="DL2" i="1"/>
  <c r="EE2" i="1"/>
  <c r="CL2" i="1"/>
  <c r="BY2" i="1"/>
  <c r="EK2" i="1"/>
  <c r="CZ2" i="1"/>
  <c r="AL2" i="1"/>
  <c r="AU2" i="1"/>
  <c r="CS2" i="1"/>
  <c r="Z2" i="1"/>
  <c r="BH2" i="1"/>
  <c r="BL2" i="1"/>
  <c r="CH2" i="1"/>
  <c r="CI2" i="1"/>
  <c r="BW2" i="1"/>
  <c r="AN2" i="1"/>
  <c r="BP2" i="1"/>
  <c r="CR2" i="1"/>
  <c r="CO2" i="1"/>
  <c r="BM2" i="1"/>
  <c r="DW2" i="1"/>
  <c r="CB2" i="1"/>
  <c r="DJ2" i="1"/>
  <c r="EL2" i="1"/>
  <c r="AE2" i="1"/>
  <c r="CT2" i="1"/>
  <c r="BO2" i="1"/>
  <c r="EA2" i="1"/>
  <c r="BN2" i="1"/>
  <c r="EB2" i="1"/>
  <c r="DZ2" i="1"/>
  <c r="AG2" i="1"/>
  <c r="DY2" i="1"/>
  <c r="EI2" i="1"/>
  <c r="CD2" i="1"/>
  <c r="CX2" i="1"/>
  <c r="AC2" i="1"/>
  <c r="DN2" i="1"/>
  <c r="BB2" i="1"/>
  <c r="BF2" i="1"/>
  <c r="DT2" i="1"/>
  <c r="BX2" i="1"/>
  <c r="DX2" i="1"/>
  <c r="DI2" i="1"/>
  <c r="CE2" i="1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H6" i="1"/>
  <c r="G7" i="1" s="1"/>
  <c r="H7" i="1"/>
  <c r="G8" i="1" s="1"/>
  <c r="H8" i="1"/>
  <c r="H10" i="1"/>
  <c r="G11" i="1" s="1"/>
  <c r="H11" i="1"/>
  <c r="H13" i="1"/>
  <c r="G14" i="1" s="1"/>
  <c r="H14" i="1"/>
  <c r="G15" i="1" s="1"/>
  <c r="H15" i="1"/>
  <c r="G16" i="1" s="1"/>
  <c r="H16" i="1"/>
  <c r="G55" i="1"/>
  <c r="H55" i="1" s="1"/>
  <c r="G46" i="1"/>
  <c r="H46" i="1" s="1"/>
  <c r="H37" i="1"/>
  <c r="H19" i="1"/>
  <c r="G38" i="1" s="1"/>
  <c r="H38" i="1" s="1"/>
  <c r="G56" i="1"/>
  <c r="H56" i="1" s="1"/>
  <c r="H50" i="1"/>
  <c r="H32" i="1"/>
  <c r="H24" i="1"/>
  <c r="G52" i="1" s="1"/>
  <c r="G61" i="1"/>
  <c r="H61" i="1" s="1"/>
  <c r="H52" i="1"/>
  <c r="H34" i="1"/>
  <c r="G47" i="1" l="1"/>
  <c r="H47" i="1" s="1"/>
  <c r="G20" i="1"/>
  <c r="H20" i="1" s="1"/>
  <c r="G25" i="1"/>
  <c r="H25" i="1" s="1"/>
  <c r="H28" i="1" s="1"/>
  <c r="G29" i="1" s="1"/>
  <c r="H29" i="1" s="1"/>
  <c r="G30" i="1" s="1"/>
  <c r="H30" i="1" s="1"/>
  <c r="G43" i="1"/>
  <c r="H43" i="1" s="1"/>
  <c r="G57" i="1" l="1"/>
  <c r="H57" i="1" s="1"/>
  <c r="G21" i="1"/>
  <c r="H21" i="1" s="1"/>
  <c r="G48" i="1"/>
  <c r="H48" i="1" s="1"/>
  <c r="G39" i="1"/>
  <c r="H39" i="1" s="1"/>
  <c r="G41" i="1" l="1"/>
  <c r="H41" i="1" s="1"/>
  <c r="G59" i="1"/>
  <c r="H59" i="1" s="1"/>
  <c r="G23" i="1"/>
  <c r="H23" i="1" s="1"/>
  <c r="G60" i="1" l="1"/>
  <c r="H60" i="1" s="1"/>
  <c r="G33" i="1"/>
  <c r="H33" i="1" s="1"/>
  <c r="G51" i="1"/>
  <c r="H51" i="1" s="1"/>
  <c r="G42" i="1"/>
  <c r="H42" i="1" s="1"/>
</calcChain>
</file>

<file path=xl/sharedStrings.xml><?xml version="1.0" encoding="utf-8"?>
<sst xmlns="http://schemas.openxmlformats.org/spreadsheetml/2006/main" count="329" uniqueCount="125">
  <si>
    <t>No</t>
    <phoneticPr fontId="2" type="noConversion"/>
  </si>
  <si>
    <t>Task</t>
  </si>
  <si>
    <t>Resource</t>
  </si>
  <si>
    <t>Percentage of input</t>
  </si>
  <si>
    <t>Days</t>
  </si>
  <si>
    <t>Start time</t>
  </si>
  <si>
    <t>End time</t>
  </si>
  <si>
    <t>实际开始时间</t>
    <phoneticPr fontId="2" type="noConversion"/>
  </si>
  <si>
    <t>实际结束时间</t>
    <phoneticPr fontId="2" type="noConversion"/>
  </si>
  <si>
    <t>成果物单位</t>
    <phoneticPr fontId="2" type="noConversion"/>
  </si>
  <si>
    <t>成果物量</t>
    <phoneticPr fontId="2" type="noConversion"/>
  </si>
  <si>
    <t>完成成果物量</t>
    <phoneticPr fontId="2" type="noConversion"/>
  </si>
  <si>
    <t>Job progress</t>
  </si>
  <si>
    <t>Prerequisite tasks</t>
  </si>
  <si>
    <t>Baseline start time</t>
  </si>
  <si>
    <t>Baseline end time</t>
  </si>
  <si>
    <t>EV</t>
    <phoneticPr fontId="2" type="noConversion"/>
  </si>
  <si>
    <t>PV</t>
    <phoneticPr fontId="2" type="noConversion"/>
  </si>
  <si>
    <t>AC</t>
    <phoneticPr fontId="2" type="noConversion"/>
  </si>
  <si>
    <t>SPI</t>
    <phoneticPr fontId="2" type="noConversion"/>
  </si>
  <si>
    <t>CPI</t>
    <phoneticPr fontId="2" type="noConversion"/>
  </si>
  <si>
    <t>SV</t>
    <phoneticPr fontId="2" type="noConversion"/>
  </si>
  <si>
    <t>Task type</t>
  </si>
  <si>
    <t>level</t>
  </si>
  <si>
    <t>1 开发平台概述</t>
  </si>
  <si>
    <t>P</t>
  </si>
  <si>
    <t>开发平台概述(64%)</t>
  </si>
  <si>
    <t xml:space="preserve">    1.1 新增功能</t>
  </si>
  <si>
    <t>新增功能(100%)</t>
  </si>
  <si>
    <t xml:space="preserve">        1.1.1 前世今生</t>
  </si>
  <si>
    <t>A</t>
  </si>
  <si>
    <t>页数</t>
  </si>
  <si>
    <t>T</t>
  </si>
  <si>
    <t>前世今生</t>
  </si>
  <si>
    <t xml:space="preserve">        1.1.2 特点</t>
  </si>
  <si>
    <t>页数</t>
    <phoneticPr fontId="2" type="noConversion"/>
  </si>
  <si>
    <t>特点</t>
  </si>
  <si>
    <t xml:space="preserve">        1.1.3 直观方便的功能区</t>
  </si>
  <si>
    <t>直观方便的功能区</t>
  </si>
  <si>
    <t xml:space="preserve">    1.2 开发应用程序有啥好处</t>
  </si>
  <si>
    <t>开发应用程序有啥好处</t>
  </si>
  <si>
    <t xml:space="preserve">    1.3 应用程序结构</t>
  </si>
  <si>
    <t>应用程序结构(80%)</t>
  </si>
  <si>
    <t xml:space="preserve">        1.3.1 程序有哪几部分组成</t>
  </si>
  <si>
    <t>C</t>
  </si>
  <si>
    <t>行数</t>
  </si>
  <si>
    <t>程序有哪几部分组成</t>
  </si>
  <si>
    <t xml:space="preserve">        1.3.2 面向对象编程是什么</t>
  </si>
  <si>
    <t>面向对象编程是什么</t>
  </si>
  <si>
    <t xml:space="preserve">    1.4 应用程序开发流程</t>
  </si>
  <si>
    <t>应用程序开发流程(24%)</t>
  </si>
  <si>
    <t xml:space="preserve">        1.4.1 开发前准备</t>
  </si>
  <si>
    <t>B</t>
  </si>
  <si>
    <t>项目数</t>
  </si>
  <si>
    <t>开发前准备</t>
  </si>
  <si>
    <t xml:space="preserve">        1.4.2 开发过程</t>
  </si>
  <si>
    <t>开发过程</t>
  </si>
  <si>
    <t xml:space="preserve">        1.4.3 测试</t>
  </si>
  <si>
    <t>测试</t>
  </si>
  <si>
    <t xml:space="preserve">        1.4.4 发布给最终用户</t>
  </si>
  <si>
    <t>发布给最终用户</t>
  </si>
  <si>
    <t>2 使用宏</t>
  </si>
  <si>
    <t>使用宏(70%)</t>
  </si>
  <si>
    <t xml:space="preserve">    2.1 宏简介</t>
  </si>
  <si>
    <t>宏简介(71%)</t>
  </si>
  <si>
    <t xml:space="preserve">        2.1.1 宏是什么</t>
  </si>
  <si>
    <t>宏是什么</t>
  </si>
  <si>
    <t xml:space="preserve">        2.1.2 宏有哪些特点</t>
  </si>
  <si>
    <t>宏有哪些特点</t>
  </si>
  <si>
    <t xml:space="preserve">        2.1.3 有哪些方法创建宏</t>
  </si>
  <si>
    <t>有哪些方法创建宏</t>
  </si>
  <si>
    <t xml:space="preserve">    2.2 将你的宏记录下来</t>
  </si>
  <si>
    <t>将你的宏记录下来(70%)</t>
  </si>
  <si>
    <t xml:space="preserve">        2.2.1 宏是什么</t>
  </si>
  <si>
    <t xml:space="preserve">        2.2.2 宏有哪些特点</t>
  </si>
  <si>
    <t xml:space="preserve">        2.2.3 有哪些方法创建宏</t>
  </si>
  <si>
    <t>3 使用宏</t>
  </si>
  <si>
    <t xml:space="preserve">    3.1 宏简介</t>
  </si>
  <si>
    <t xml:space="preserve">        3.1.1 宏是什么</t>
  </si>
  <si>
    <t xml:space="preserve">        3.1.2 宏有哪些特点</t>
  </si>
  <si>
    <t xml:space="preserve">        3.1.3 有哪些方法创建宏</t>
  </si>
  <si>
    <t xml:space="preserve">    3.2 将你的宏记录下来</t>
  </si>
  <si>
    <t xml:space="preserve">        3.2.1 宏是什么</t>
  </si>
  <si>
    <t xml:space="preserve">        3.2.2 宏有哪些特点</t>
  </si>
  <si>
    <t xml:space="preserve">        3.2.3 有哪些方法创建宏</t>
  </si>
  <si>
    <t>4 使用宏</t>
  </si>
  <si>
    <t>使用宏(38%)</t>
  </si>
  <si>
    <t xml:space="preserve">    4.1 宏简介</t>
  </si>
  <si>
    <t>宏简介(61%)</t>
  </si>
  <si>
    <t xml:space="preserve">        4.1.1 宏是什么</t>
  </si>
  <si>
    <t xml:space="preserve">        4.1.2 宏有哪些特点</t>
  </si>
  <si>
    <t xml:space="preserve">        4.1.3 有哪些方法创建宏</t>
  </si>
  <si>
    <t xml:space="preserve">    4.2 将你的宏记录下来</t>
  </si>
  <si>
    <t>将你的宏记录下来(0%)</t>
  </si>
  <si>
    <t xml:space="preserve">        4.2.1 宏是什么</t>
  </si>
  <si>
    <t xml:space="preserve">        4.2.2 宏有哪些特点</t>
  </si>
  <si>
    <t xml:space="preserve">        4.2.3 有哪些方法创建宏</t>
  </si>
  <si>
    <t>5 使用宏</t>
  </si>
  <si>
    <t>使用宏(0%)</t>
  </si>
  <si>
    <t xml:space="preserve">    5.1 宏简介</t>
  </si>
  <si>
    <t>宏简介(0%)</t>
  </si>
  <si>
    <t xml:space="preserve">        5.1.1 宏是什么</t>
  </si>
  <si>
    <t xml:space="preserve">        5.1.2 宏有哪些特点</t>
  </si>
  <si>
    <t xml:space="preserve">        5.1.3 有哪些方法创建宏</t>
  </si>
  <si>
    <t xml:space="preserve">    5.2 将你的宏记录下来</t>
  </si>
  <si>
    <t xml:space="preserve">        5.2.1 宏是什么</t>
  </si>
  <si>
    <t xml:space="preserve">        5.2.2 宏有哪些特点</t>
  </si>
  <si>
    <t xml:space="preserve">        5.2.3 有哪些方法创建宏</t>
  </si>
  <si>
    <t>6 使用宏</t>
  </si>
  <si>
    <t xml:space="preserve">    6.1 宏简介</t>
  </si>
  <si>
    <t xml:space="preserve">        6.1.1 宏是什么</t>
  </si>
  <si>
    <t xml:space="preserve">        6.1.2 宏有哪些特点</t>
  </si>
  <si>
    <t xml:space="preserve">        6.1.3 有哪些方法创建宏</t>
  </si>
  <si>
    <t xml:space="preserve">    6.2 将你的宏记录下来</t>
  </si>
  <si>
    <t xml:space="preserve">        6.2.1 宏是什么</t>
  </si>
  <si>
    <t xml:space="preserve">        6.2.2 宏有哪些特点</t>
  </si>
  <si>
    <t xml:space="preserve">        6.2.3 有哪些方法创建宏</t>
  </si>
  <si>
    <t>资源</t>
    <phoneticPr fontId="2" type="noConversion"/>
  </si>
  <si>
    <t>节假日</t>
    <phoneticPr fontId="2" type="noConversion"/>
  </si>
  <si>
    <t>周末上班</t>
    <phoneticPr fontId="2" type="noConversion"/>
  </si>
  <si>
    <t>A</t>
    <phoneticPr fontId="2" type="noConversion"/>
  </si>
  <si>
    <t>B</t>
    <phoneticPr fontId="2" type="noConversion"/>
  </si>
  <si>
    <t>行数</t>
    <phoneticPr fontId="2" type="noConversion"/>
  </si>
  <si>
    <t>C</t>
    <phoneticPr fontId="2" type="noConversion"/>
  </si>
  <si>
    <t>项目数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</si>
</sst>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 "/>
    <numFmt numFmtId="165" formatCode="d"/>
    <numFmt numFmtId="166" formatCode="mm/dd"/>
    <numFmt numFmtId="167" formatCode="0.00_);[Red]\(0.00\)"/>
  </numFmts>
  <fonts count="11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theme="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3E2E9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4" tint="0.39994506668294322"/>
      </right>
      <top/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4" fillId="2" borderId="2" xfId="0" applyFont="1" applyFill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9" fontId="0" fillId="3" borderId="0" xfId="1" applyFont="1" applyFill="1" applyAlignment="1">
      <alignment vertical="center"/>
    </xf>
    <xf numFmtId="9" fontId="0" fillId="3" borderId="6" xfId="1" applyFont="1" applyFill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0" fontId="4" fillId="2" borderId="5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>
      <alignment vertical="center"/>
    </xf>
    <xf numFmtId="9" fontId="8" fillId="0" borderId="2" xfId="0" applyNumberFormat="1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4" fontId="1" fillId="0" borderId="2" xfId="0" applyNumberFormat="1" applyFont="1" applyBorder="1">
      <alignment vertical="center"/>
    </xf>
    <xf numFmtId="164" fontId="1" fillId="0" borderId="2" xfId="0" applyNumberFormat="1" applyFont="1" applyBorder="1" applyAlignment="1">
      <alignment horizontal="center" vertical="center"/>
    </xf>
    <xf numFmtId="9" fontId="1" fillId="0" borderId="2" xfId="0" applyNumberFormat="1" applyFont="1" applyBorder="1" applyAlignment="1">
      <alignment horizontal="center" vertical="center"/>
    </xf>
    <xf numFmtId="14" fontId="1" fillId="0" borderId="5" xfId="0" applyNumberFormat="1" applyFont="1" applyBorder="1">
      <alignment vertical="center"/>
    </xf>
    <xf numFmtId="0" fontId="1" fillId="4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>
      <alignment vertical="center"/>
    </xf>
    <xf numFmtId="9" fontId="9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14" fontId="7" fillId="0" borderId="2" xfId="0" applyNumberFormat="1" applyFont="1" applyBorder="1">
      <alignment vertical="center"/>
    </xf>
    <xf numFmtId="164" fontId="7" fillId="0" borderId="2" xfId="0" applyNumberFormat="1" applyFont="1" applyBorder="1" applyAlignment="1">
      <alignment horizontal="center" vertical="center"/>
    </xf>
    <xf numFmtId="9" fontId="7" fillId="0" borderId="2" xfId="0" applyNumberFormat="1" applyFont="1" applyBorder="1" applyAlignment="1">
      <alignment horizontal="center" vertical="center"/>
    </xf>
    <xf numFmtId="14" fontId="7" fillId="0" borderId="5" xfId="0" applyNumberFormat="1" applyFont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9" fontId="7" fillId="0" borderId="2" xfId="0" applyNumberFormat="1" applyFont="1" applyBorder="1">
      <alignment vertical="center"/>
    </xf>
    <xf numFmtId="167" fontId="7" fillId="0" borderId="2" xfId="0" applyNumberFormat="1" applyFont="1" applyBorder="1">
      <alignment vertical="center"/>
    </xf>
    <xf numFmtId="0" fontId="0" fillId="5" borderId="0" xfId="0" applyFill="1">
      <alignment vertical="center"/>
    </xf>
    <xf numFmtId="0" fontId="10" fillId="5" borderId="7" xfId="0" applyFont="1" applyFill="1" applyBorder="1">
      <alignment vertical="center"/>
    </xf>
    <xf numFmtId="0" fontId="10" fillId="5" borderId="8" xfId="0" applyFont="1" applyFill="1" applyBorder="1">
      <alignment vertical="center"/>
    </xf>
    <xf numFmtId="0" fontId="10" fillId="5" borderId="9" xfId="0" applyFont="1" applyFill="1" applyBorder="1">
      <alignment vertical="center"/>
    </xf>
    <xf numFmtId="9" fontId="0" fillId="6" borderId="0" xfId="1" applyFont="1" applyFill="1" applyAlignment="1">
      <alignment horizontal="center" vertical="center"/>
    </xf>
    <xf numFmtId="0" fontId="0" fillId="6" borderId="0" xfId="0" applyFill="1">
      <alignment vertical="center"/>
    </xf>
  </cellXfs>
  <cellStyles count="2">
    <cellStyle name="Normal" xfId="0" builtinId="0"/>
    <cellStyle name="Percent" xfId="1" builtinId="5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L73"/>
  <sheetViews>
    <sheetView showGridLines="0" tabSelected="1" zoomScale="90" zoomScaleNormal="90" workbookViewId="0">
      <pane xSplit="25" ySplit="2" topLeftCell="Z3" activePane="bottomRight" state="frozenSplit"/>
      <selection pane="topRight" activeCell="T1" sqref="T1"/>
      <selection pane="bottomLeft" activeCell="A6" sqref="A6"/>
      <selection pane="bottomRight" activeCell="O14" sqref="O14"/>
    </sheetView>
  </sheetViews>
  <sheetFormatPr defaultRowHeight="14.35" outlineLevelCol="1"/>
  <cols>
    <col min="1" max="1" width="3.234375" customWidth="1"/>
    <col min="2" max="2" width="3.234375" style="6" customWidth="1"/>
    <col min="3" max="3" width="28.3515625" bestFit="1" customWidth="1"/>
    <col min="4" max="4" width="7.87890625" customWidth="1"/>
    <col min="5" max="5" width="8.76171875" customWidth="1"/>
    <col min="6" max="6" width="5.234375" bestFit="1" customWidth="1"/>
    <col min="7" max="7" width="11.3515625" customWidth="1"/>
    <col min="8" max="8" width="11.234375" customWidth="1"/>
    <col min="9" max="10" width="13" hidden="1" customWidth="1" outlineLevel="1"/>
    <col min="11" max="11" width="11" hidden="1" customWidth="1" outlineLevel="1"/>
    <col min="12" max="12" width="9" hidden="1" customWidth="1" outlineLevel="1"/>
    <col min="13" max="13" width="13" hidden="1" customWidth="1" outlineLevel="1"/>
    <col min="14" max="14" width="9" bestFit="1" customWidth="1" collapsed="1"/>
    <col min="15" max="15" width="32.87890625" customWidth="1"/>
    <col min="16" max="17" width="13" hidden="1" customWidth="1" outlineLevel="1"/>
    <col min="18" max="18" width="3.76171875" style="6" hidden="1" customWidth="1" outlineLevel="1"/>
    <col min="19" max="20" width="4" style="6" hidden="1" customWidth="1" outlineLevel="1"/>
    <col min="21" max="22" width="4.3515625" style="6" hidden="1" customWidth="1" outlineLevel="1"/>
    <col min="23" max="23" width="4" style="6" hidden="1" customWidth="1" outlineLevel="1"/>
    <col min="24" max="24" width="9" style="6" hidden="1" customWidth="1" outlineLevel="1"/>
    <col min="25" max="25" width="5.234375" style="6" hidden="1" customWidth="1" outlineLevel="1"/>
    <col min="26" max="26" width="10" customWidth="1" collapsed="1"/>
    <col min="27" max="27" width="5.46875" customWidth="1"/>
    <col min="28" max="28" width="9" bestFit="1" customWidth="1"/>
    <col min="29" max="94" width="5.46875" customWidth="1"/>
    <col min="95" max="95" width="8.64453125" customWidth="1"/>
    <col min="96" max="142" width="5.46875" customWidth="1"/>
  </cols>
  <sheetData>
    <row r="1" spans="2:142">
      <c r="Z1" s="9">
        <v>45843</v>
      </c>
      <c r="AA1" s="9">
        <v>45844</v>
      </c>
      <c r="AB1" s="9">
        <v>45845</v>
      </c>
      <c r="AC1" s="9">
        <v>45846</v>
      </c>
      <c r="AD1" s="9">
        <v>45847</v>
      </c>
      <c r="AE1" s="9">
        <v>45848</v>
      </c>
      <c r="AF1" s="9">
        <v>45849</v>
      </c>
      <c r="AG1" s="9">
        <v>45850</v>
      </c>
      <c r="AH1" s="9">
        <v>45851</v>
      </c>
      <c r="AI1" s="9">
        <v>45852</v>
      </c>
      <c r="AJ1" s="9">
        <v>45853</v>
      </c>
      <c r="AK1" s="9">
        <v>45854</v>
      </c>
      <c r="AL1" s="9">
        <v>45855</v>
      </c>
      <c r="AM1" s="9">
        <v>45856</v>
      </c>
      <c r="AN1" s="9">
        <v>45857</v>
      </c>
      <c r="AO1" s="9">
        <v>45858</v>
      </c>
      <c r="AP1" s="9">
        <v>45859</v>
      </c>
      <c r="AQ1" s="9">
        <v>45860</v>
      </c>
      <c r="AR1" s="9">
        <v>45861</v>
      </c>
      <c r="AS1" s="9">
        <v>45862</v>
      </c>
      <c r="AT1" s="9">
        <v>45863</v>
      </c>
      <c r="AU1" s="9">
        <v>45864</v>
      </c>
      <c r="AV1" s="9">
        <v>45865</v>
      </c>
      <c r="AW1" s="9">
        <v>45866</v>
      </c>
      <c r="AX1" s="9">
        <v>45867</v>
      </c>
      <c r="AY1" s="9">
        <v>45868</v>
      </c>
      <c r="AZ1" s="9">
        <v>45869</v>
      </c>
      <c r="BA1" s="9">
        <v>45870</v>
      </c>
      <c r="BB1" s="9">
        <v>45871</v>
      </c>
      <c r="BC1" s="9">
        <v>45872</v>
      </c>
      <c r="BD1" s="9">
        <v>45873</v>
      </c>
      <c r="BE1" s="9">
        <v>45874</v>
      </c>
      <c r="BF1" s="9">
        <v>45875</v>
      </c>
      <c r="BG1" s="9">
        <v>45876</v>
      </c>
      <c r="BH1" s="9">
        <v>45877</v>
      </c>
      <c r="BI1" s="9">
        <v>45878</v>
      </c>
      <c r="BJ1" s="9">
        <v>45879</v>
      </c>
      <c r="BK1" s="9">
        <v>45880</v>
      </c>
      <c r="BL1" s="9">
        <v>45881</v>
      </c>
      <c r="BM1" s="9">
        <v>45882</v>
      </c>
      <c r="BN1" s="9">
        <v>45883</v>
      </c>
      <c r="BO1" s="9">
        <v>45884</v>
      </c>
      <c r="BP1" s="9">
        <v>45885</v>
      </c>
      <c r="BQ1" s="9">
        <v>45886</v>
      </c>
      <c r="BR1" s="9">
        <v>45887</v>
      </c>
      <c r="BS1" s="9">
        <v>45888</v>
      </c>
      <c r="BT1" s="9">
        <v>45889</v>
      </c>
      <c r="BU1" s="9">
        <v>45890</v>
      </c>
      <c r="BV1" s="9">
        <v>45891</v>
      </c>
      <c r="BW1" s="9">
        <v>45892</v>
      </c>
      <c r="BX1" s="9">
        <v>45893</v>
      </c>
      <c r="BY1" s="9">
        <v>45894</v>
      </c>
      <c r="BZ1" s="9">
        <v>45895</v>
      </c>
      <c r="CA1" s="9">
        <v>45896</v>
      </c>
      <c r="CB1" s="9">
        <v>45897</v>
      </c>
      <c r="CC1" s="9">
        <v>45898</v>
      </c>
      <c r="CD1" s="9">
        <v>45899</v>
      </c>
      <c r="CE1" s="9">
        <v>45900</v>
      </c>
      <c r="CF1" s="9">
        <v>45901</v>
      </c>
      <c r="CG1" s="9">
        <v>45902</v>
      </c>
      <c r="CH1" s="9">
        <v>45903</v>
      </c>
      <c r="CI1" s="9">
        <v>45904</v>
      </c>
      <c r="CJ1" s="9">
        <v>45905</v>
      </c>
      <c r="CK1" s="9">
        <v>45906</v>
      </c>
      <c r="CL1" s="9">
        <v>45907</v>
      </c>
      <c r="CM1" s="9">
        <v>45908</v>
      </c>
      <c r="CN1" s="9">
        <v>45909</v>
      </c>
      <c r="CO1" s="9">
        <v>45910</v>
      </c>
      <c r="CP1" s="9">
        <v>45911</v>
      </c>
      <c r="CQ1" s="9">
        <v>45912</v>
      </c>
      <c r="CR1" s="9">
        <v>45913</v>
      </c>
      <c r="CS1" s="9">
        <v>45914</v>
      </c>
      <c r="CT1" s="9">
        <v>45915</v>
      </c>
      <c r="CU1" s="9">
        <v>45916</v>
      </c>
      <c r="CV1" s="9">
        <v>45917</v>
      </c>
      <c r="CW1" s="9">
        <v>45918</v>
      </c>
      <c r="CX1" s="9">
        <v>45919</v>
      </c>
      <c r="CY1" s="9">
        <v>45920</v>
      </c>
      <c r="CZ1" s="9">
        <v>45921</v>
      </c>
      <c r="DA1" s="9">
        <v>45922</v>
      </c>
      <c r="DB1" s="9">
        <v>45923</v>
      </c>
      <c r="DC1" s="9">
        <v>45924</v>
      </c>
      <c r="DD1" s="9">
        <v>45925</v>
      </c>
      <c r="DE1" s="9">
        <v>45926</v>
      </c>
      <c r="DF1" s="9">
        <v>45927</v>
      </c>
      <c r="DG1" s="9">
        <v>45928</v>
      </c>
      <c r="DH1" s="9">
        <v>45929</v>
      </c>
      <c r="DI1" s="9">
        <v>45930</v>
      </c>
      <c r="DJ1" s="9">
        <v>45931</v>
      </c>
      <c r="DK1" s="9">
        <v>45932</v>
      </c>
      <c r="DL1" s="9">
        <v>45933</v>
      </c>
      <c r="DM1" s="9">
        <v>45934</v>
      </c>
      <c r="DN1" s="9">
        <v>45935</v>
      </c>
      <c r="DO1" s="9">
        <v>45936</v>
      </c>
      <c r="DP1" s="9">
        <v>45937</v>
      </c>
      <c r="DQ1" s="9">
        <v>45938</v>
      </c>
      <c r="DR1" s="9">
        <v>45939</v>
      </c>
      <c r="DS1" s="9">
        <v>45940</v>
      </c>
      <c r="DT1" s="9">
        <v>45941</v>
      </c>
      <c r="DU1" s="9">
        <v>45942</v>
      </c>
      <c r="DV1" s="9">
        <v>45943</v>
      </c>
      <c r="DW1" s="9">
        <v>45944</v>
      </c>
      <c r="DX1" s="9">
        <v>45945</v>
      </c>
      <c r="DY1" s="9">
        <v>45946</v>
      </c>
      <c r="DZ1" s="9">
        <v>45947</v>
      </c>
      <c r="EA1" s="9">
        <v>45948</v>
      </c>
      <c r="EB1" s="9">
        <v>45949</v>
      </c>
      <c r="EC1" s="9">
        <v>45950</v>
      </c>
      <c r="ED1" s="9">
        <v>45951</v>
      </c>
      <c r="EE1" s="9">
        <v>45952</v>
      </c>
      <c r="EF1" s="9">
        <v>45953</v>
      </c>
      <c r="EG1" s="9">
        <v>45954</v>
      </c>
      <c r="EH1" s="9">
        <v>45955</v>
      </c>
      <c r="EI1" s="9">
        <v>45956</v>
      </c>
      <c r="EJ1" s="9">
        <v>45957</v>
      </c>
      <c r="EK1" s="9">
        <v>46028</v>
      </c>
      <c r="EL1" s="9">
        <v>46029</v>
      </c>
    </row>
    <row r="2" spans="2:142" ht="14.7" thickBot="1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11" t="s">
        <v>15</v>
      </c>
      <c r="R2" s="11" t="s">
        <v>16</v>
      </c>
      <c r="S2" s="11" t="s">
        <v>17</v>
      </c>
      <c r="T2" s="11" t="s">
        <v>18</v>
      </c>
      <c r="U2" s="11" t="s">
        <v>19</v>
      </c>
      <c r="V2" s="11" t="s">
        <v>20</v>
      </c>
      <c r="W2" s="11" t="s">
        <v>21</v>
      </c>
      <c r="X2" s="11" t="s">
        <v>22</v>
      </c>
      <c r="Y2" s="11" t="s">
        <v>23</v>
      </c>
      <c r="Z2" s="4" t="str">
        <f ca="1">IF(INDIRECT("R[-1]C",0)="","",CHOOSE(WEEKDAY(INDIRECT("R[-1]C",0),2),"Mon","Tue","Wed","Thu","Fri","Sat","Sun"))</f>
        <v>Sat</v>
      </c>
      <c r="AA2" s="4" t="str">
        <f t="shared" ref="AA2:CL2" ca="1" si="0">IF(INDIRECT("R[-1]C",0)="","",CHOOSE(WEEKDAY(INDIRECT("R[-1]C",0),2),"Mon","Tue","Wed","Thu","Fri","Sat","Sun"))</f>
        <v>Sun</v>
      </c>
      <c r="AB2" s="4" t="str">
        <f t="shared" ca="1" si="0"/>
        <v>Mon</v>
      </c>
      <c r="AC2" s="4" t="str">
        <f t="shared" ca="1" si="0"/>
        <v>Tue</v>
      </c>
      <c r="AD2" s="4" t="str">
        <f t="shared" ca="1" si="0"/>
        <v>Wed</v>
      </c>
      <c r="AE2" s="4" t="str">
        <f t="shared" ca="1" si="0"/>
        <v>Thu</v>
      </c>
      <c r="AF2" s="4" t="str">
        <f t="shared" ca="1" si="0"/>
        <v>Fri</v>
      </c>
      <c r="AG2" s="4" t="str">
        <f t="shared" ca="1" si="0"/>
        <v>Sat</v>
      </c>
      <c r="AH2" s="4" t="str">
        <f t="shared" ca="1" si="0"/>
        <v>Sun</v>
      </c>
      <c r="AI2" s="4" t="str">
        <f t="shared" ca="1" si="0"/>
        <v>Mon</v>
      </c>
      <c r="AJ2" s="4" t="str">
        <f t="shared" ca="1" si="0"/>
        <v>Tue</v>
      </c>
      <c r="AK2" s="4" t="str">
        <f t="shared" ca="1" si="0"/>
        <v>Wed</v>
      </c>
      <c r="AL2" s="4" t="str">
        <f t="shared" ca="1" si="0"/>
        <v>Thu</v>
      </c>
      <c r="AM2" s="4" t="str">
        <f t="shared" ca="1" si="0"/>
        <v>Fri</v>
      </c>
      <c r="AN2" s="4" t="str">
        <f t="shared" ca="1" si="0"/>
        <v>Sat</v>
      </c>
      <c r="AO2" s="4" t="str">
        <f t="shared" ca="1" si="0"/>
        <v>Sun</v>
      </c>
      <c r="AP2" s="4" t="str">
        <f t="shared" ca="1" si="0"/>
        <v>Mon</v>
      </c>
      <c r="AQ2" s="4" t="str">
        <f t="shared" ca="1" si="0"/>
        <v>Tue</v>
      </c>
      <c r="AR2" s="4" t="str">
        <f t="shared" ca="1" si="0"/>
        <v>Wed</v>
      </c>
      <c r="AS2" s="4" t="str">
        <f t="shared" ca="1" si="0"/>
        <v>Thu</v>
      </c>
      <c r="AT2" s="4" t="str">
        <f t="shared" ca="1" si="0"/>
        <v>Fri</v>
      </c>
      <c r="AU2" s="4" t="str">
        <f t="shared" ca="1" si="0"/>
        <v>Sat</v>
      </c>
      <c r="AV2" s="4" t="str">
        <f t="shared" ca="1" si="0"/>
        <v>Sun</v>
      </c>
      <c r="AW2" s="4" t="str">
        <f t="shared" ca="1" si="0"/>
        <v>Mon</v>
      </c>
      <c r="AX2" s="4" t="str">
        <f t="shared" ca="1" si="0"/>
        <v>Tue</v>
      </c>
      <c r="AY2" s="4" t="str">
        <f t="shared" ca="1" si="0"/>
        <v>Wed</v>
      </c>
      <c r="AZ2" s="4" t="str">
        <f t="shared" ca="1" si="0"/>
        <v>Thu</v>
      </c>
      <c r="BA2" s="4" t="str">
        <f t="shared" ca="1" si="0"/>
        <v>Fri</v>
      </c>
      <c r="BB2" s="4" t="str">
        <f t="shared" ca="1" si="0"/>
        <v>Sat</v>
      </c>
      <c r="BC2" s="4" t="str">
        <f t="shared" ca="1" si="0"/>
        <v>Sun</v>
      </c>
      <c r="BD2" s="4" t="str">
        <f t="shared" ca="1" si="0"/>
        <v>Mon</v>
      </c>
      <c r="BE2" s="4" t="str">
        <f t="shared" ca="1" si="0"/>
        <v>Tue</v>
      </c>
      <c r="BF2" s="4" t="str">
        <f t="shared" ca="1" si="0"/>
        <v>Wed</v>
      </c>
      <c r="BG2" s="4" t="str">
        <f t="shared" ca="1" si="0"/>
        <v>Thu</v>
      </c>
      <c r="BH2" s="4" t="str">
        <f t="shared" ca="1" si="0"/>
        <v>Fri</v>
      </c>
      <c r="BI2" s="4" t="str">
        <f t="shared" ca="1" si="0"/>
        <v>Sat</v>
      </c>
      <c r="BJ2" s="4" t="str">
        <f t="shared" ca="1" si="0"/>
        <v>Sun</v>
      </c>
      <c r="BK2" s="4" t="str">
        <f t="shared" ca="1" si="0"/>
        <v>Mon</v>
      </c>
      <c r="BL2" s="4" t="str">
        <f t="shared" ca="1" si="0"/>
        <v>Tue</v>
      </c>
      <c r="BM2" s="4" t="str">
        <f t="shared" ca="1" si="0"/>
        <v>Wed</v>
      </c>
      <c r="BN2" s="4" t="str">
        <f t="shared" ca="1" si="0"/>
        <v>Thu</v>
      </c>
      <c r="BO2" s="4" t="str">
        <f t="shared" ca="1" si="0"/>
        <v>Fri</v>
      </c>
      <c r="BP2" s="4" t="str">
        <f t="shared" ca="1" si="0"/>
        <v>Sat</v>
      </c>
      <c r="BQ2" s="4" t="str">
        <f t="shared" ca="1" si="0"/>
        <v>Sun</v>
      </c>
      <c r="BR2" s="4" t="str">
        <f t="shared" ca="1" si="0"/>
        <v>Mon</v>
      </c>
      <c r="BS2" s="4" t="str">
        <f t="shared" ca="1" si="0"/>
        <v>Tue</v>
      </c>
      <c r="BT2" s="4" t="str">
        <f t="shared" ca="1" si="0"/>
        <v>Wed</v>
      </c>
      <c r="BU2" s="4" t="str">
        <f t="shared" ca="1" si="0"/>
        <v>Thu</v>
      </c>
      <c r="BV2" s="4" t="str">
        <f t="shared" ca="1" si="0"/>
        <v>Fri</v>
      </c>
      <c r="BW2" s="4" t="str">
        <f t="shared" ca="1" si="0"/>
        <v>Sat</v>
      </c>
      <c r="BX2" s="4" t="str">
        <f t="shared" ca="1" si="0"/>
        <v>Sun</v>
      </c>
      <c r="BY2" s="4" t="str">
        <f t="shared" ca="1" si="0"/>
        <v>Mon</v>
      </c>
      <c r="BZ2" s="4" t="str">
        <f t="shared" ca="1" si="0"/>
        <v>Tue</v>
      </c>
      <c r="CA2" s="4" t="str">
        <f t="shared" ca="1" si="0"/>
        <v>Wed</v>
      </c>
      <c r="CB2" s="4" t="str">
        <f t="shared" ca="1" si="0"/>
        <v>Thu</v>
      </c>
      <c r="CC2" s="4" t="str">
        <f t="shared" ca="1" si="0"/>
        <v>Fri</v>
      </c>
      <c r="CD2" s="4" t="str">
        <f t="shared" ca="1" si="0"/>
        <v>Sat</v>
      </c>
      <c r="CE2" s="4" t="str">
        <f t="shared" ca="1" si="0"/>
        <v>Sun</v>
      </c>
      <c r="CF2" s="4" t="str">
        <f t="shared" ca="1" si="0"/>
        <v>Mon</v>
      </c>
      <c r="CG2" s="4" t="str">
        <f t="shared" ca="1" si="0"/>
        <v>Tue</v>
      </c>
      <c r="CH2" s="4" t="str">
        <f t="shared" ca="1" si="0"/>
        <v>Wed</v>
      </c>
      <c r="CI2" s="4" t="str">
        <f t="shared" ca="1" si="0"/>
        <v>Thu</v>
      </c>
      <c r="CJ2" s="4" t="str">
        <f t="shared" ca="1" si="0"/>
        <v>Fri</v>
      </c>
      <c r="CK2" s="4" t="str">
        <f t="shared" ca="1" si="0"/>
        <v>Sat</v>
      </c>
      <c r="CL2" s="4" t="str">
        <f t="shared" ca="1" si="0"/>
        <v>Sun</v>
      </c>
      <c r="CM2" s="4" t="str">
        <f t="shared" ref="CM2:EL2" ca="1" si="1">IF(INDIRECT("R[-1]C",0)="","",CHOOSE(WEEKDAY(INDIRECT("R[-1]C",0),2),"Mon","Tue","Wed","Thu","Fri","Sat","Sun"))</f>
        <v>Mon</v>
      </c>
      <c r="CN2" s="4" t="str">
        <f t="shared" ca="1" si="1"/>
        <v>Tue</v>
      </c>
      <c r="CO2" s="4" t="str">
        <f t="shared" ca="1" si="1"/>
        <v>Wed</v>
      </c>
      <c r="CP2" s="4" t="str">
        <f t="shared" ca="1" si="1"/>
        <v>Thu</v>
      </c>
      <c r="CQ2" s="4" t="str">
        <f t="shared" ca="1" si="1"/>
        <v>Fri</v>
      </c>
      <c r="CR2" s="4" t="str">
        <f t="shared" ca="1" si="1"/>
        <v>Sat</v>
      </c>
      <c r="CS2" s="4" t="str">
        <f t="shared" ca="1" si="1"/>
        <v>Sun</v>
      </c>
      <c r="CT2" s="4" t="str">
        <f t="shared" ca="1" si="1"/>
        <v>Mon</v>
      </c>
      <c r="CU2" s="4" t="str">
        <f t="shared" ca="1" si="1"/>
        <v>Tue</v>
      </c>
      <c r="CV2" s="4" t="str">
        <f t="shared" ca="1" si="1"/>
        <v>Wed</v>
      </c>
      <c r="CW2" s="4" t="str">
        <f t="shared" ca="1" si="1"/>
        <v>Thu</v>
      </c>
      <c r="CX2" s="4" t="str">
        <f t="shared" ca="1" si="1"/>
        <v>Fri</v>
      </c>
      <c r="CY2" s="4" t="str">
        <f t="shared" ca="1" si="1"/>
        <v>Sat</v>
      </c>
      <c r="CZ2" s="4" t="str">
        <f t="shared" ca="1" si="1"/>
        <v>Sun</v>
      </c>
      <c r="DA2" s="4" t="str">
        <f t="shared" ca="1" si="1"/>
        <v>Mon</v>
      </c>
      <c r="DB2" s="4" t="str">
        <f t="shared" ca="1" si="1"/>
        <v>Tue</v>
      </c>
      <c r="DC2" s="4" t="str">
        <f t="shared" ca="1" si="1"/>
        <v>Wed</v>
      </c>
      <c r="DD2" s="4" t="str">
        <f t="shared" ca="1" si="1"/>
        <v>Thu</v>
      </c>
      <c r="DE2" s="4" t="str">
        <f t="shared" ca="1" si="1"/>
        <v>Fri</v>
      </c>
      <c r="DF2" s="4" t="str">
        <f t="shared" ca="1" si="1"/>
        <v>Sat</v>
      </c>
      <c r="DG2" s="4" t="str">
        <f t="shared" ca="1" si="1"/>
        <v>Sun</v>
      </c>
      <c r="DH2" s="4" t="str">
        <f t="shared" ca="1" si="1"/>
        <v>Mon</v>
      </c>
      <c r="DI2" s="4" t="str">
        <f t="shared" ca="1" si="1"/>
        <v>Tue</v>
      </c>
      <c r="DJ2" s="4" t="str">
        <f t="shared" ca="1" si="1"/>
        <v>Wed</v>
      </c>
      <c r="DK2" s="4" t="str">
        <f t="shared" ca="1" si="1"/>
        <v>Thu</v>
      </c>
      <c r="DL2" s="4" t="str">
        <f t="shared" ca="1" si="1"/>
        <v>Fri</v>
      </c>
      <c r="DM2" s="4" t="str">
        <f t="shared" ca="1" si="1"/>
        <v>Sat</v>
      </c>
      <c r="DN2" s="4" t="str">
        <f t="shared" ca="1" si="1"/>
        <v>Sun</v>
      </c>
      <c r="DO2" s="4" t="str">
        <f t="shared" ca="1" si="1"/>
        <v>Mon</v>
      </c>
      <c r="DP2" s="4" t="str">
        <f t="shared" ca="1" si="1"/>
        <v>Tue</v>
      </c>
      <c r="DQ2" s="4" t="str">
        <f t="shared" ca="1" si="1"/>
        <v>Wed</v>
      </c>
      <c r="DR2" s="4" t="str">
        <f t="shared" ca="1" si="1"/>
        <v>Thu</v>
      </c>
      <c r="DS2" s="4" t="str">
        <f t="shared" ca="1" si="1"/>
        <v>Fri</v>
      </c>
      <c r="DT2" s="4" t="str">
        <f t="shared" ca="1" si="1"/>
        <v>Sat</v>
      </c>
      <c r="DU2" s="4" t="str">
        <f t="shared" ca="1" si="1"/>
        <v>Sun</v>
      </c>
      <c r="DV2" s="4" t="str">
        <f t="shared" ca="1" si="1"/>
        <v>Mon</v>
      </c>
      <c r="DW2" s="4" t="str">
        <f t="shared" ca="1" si="1"/>
        <v>Tue</v>
      </c>
      <c r="DX2" s="4" t="str">
        <f t="shared" ca="1" si="1"/>
        <v>Wed</v>
      </c>
      <c r="DY2" s="4" t="str">
        <f t="shared" ca="1" si="1"/>
        <v>Thu</v>
      </c>
      <c r="DZ2" s="4" t="str">
        <f t="shared" ca="1" si="1"/>
        <v>Fri</v>
      </c>
      <c r="EA2" s="4" t="str">
        <f t="shared" ca="1" si="1"/>
        <v>Sat</v>
      </c>
      <c r="EB2" s="4" t="str">
        <f t="shared" ca="1" si="1"/>
        <v>Sun</v>
      </c>
      <c r="EC2" s="4" t="str">
        <f t="shared" ca="1" si="1"/>
        <v>Mon</v>
      </c>
      <c r="ED2" s="4" t="str">
        <f t="shared" ca="1" si="1"/>
        <v>Tue</v>
      </c>
      <c r="EE2" s="4" t="str">
        <f t="shared" ca="1" si="1"/>
        <v>Wed</v>
      </c>
      <c r="EF2" s="4" t="str">
        <f t="shared" ca="1" si="1"/>
        <v>Thu</v>
      </c>
      <c r="EG2" s="4" t="str">
        <f t="shared" ca="1" si="1"/>
        <v>Fri</v>
      </c>
      <c r="EH2" s="4" t="str">
        <f t="shared" ca="1" si="1"/>
        <v>Sat</v>
      </c>
      <c r="EI2" s="4" t="str">
        <f t="shared" ca="1" si="1"/>
        <v>Sun</v>
      </c>
      <c r="EJ2" s="4" t="str">
        <f t="shared" ca="1" si="1"/>
        <v>Mon</v>
      </c>
      <c r="EK2" s="4" t="str">
        <f t="shared" ca="1" si="1"/>
        <v>Tue</v>
      </c>
      <c r="EL2" s="4" t="str">
        <f t="shared" ca="1" si="1"/>
        <v>Wed</v>
      </c>
    </row>
    <row r="3" spans="2:142" ht="14.25" customHeight="1" thickBot="1">
      <c r="B3" s="28">
        <v>1</v>
      </c>
      <c r="C3" s="29" t="s">
        <v>24</v>
      </c>
      <c r="D3" s="29"/>
      <c r="E3" s="30"/>
      <c r="F3" s="31">
        <v>34</v>
      </c>
      <c r="G3" s="32">
        <v>45843</v>
      </c>
      <c r="H3" s="32">
        <v>45843</v>
      </c>
      <c r="I3" s="33"/>
      <c r="J3" s="33"/>
      <c r="K3" s="28"/>
      <c r="L3" s="34"/>
      <c r="M3" s="34"/>
      <c r="N3" s="35">
        <v>0.64411763583912574</v>
      </c>
      <c r="O3" s="29"/>
      <c r="P3" s="33">
        <v>43160</v>
      </c>
      <c r="Q3" s="36">
        <v>43207</v>
      </c>
      <c r="R3" s="37"/>
      <c r="S3" s="37"/>
      <c r="T3" s="28"/>
      <c r="U3" s="37"/>
      <c r="V3" s="37"/>
      <c r="W3" s="37"/>
      <c r="X3" s="28" t="s">
        <v>25</v>
      </c>
      <c r="Y3" s="38">
        <v>0</v>
      </c>
      <c r="AV3" s="41"/>
      <c r="AW3" s="41"/>
      <c r="AX3" s="41"/>
      <c r="AY3" s="41"/>
      <c r="AZ3" s="41"/>
      <c r="BA3" s="41"/>
      <c r="BB3" s="42" t="s">
        <v>26</v>
      </c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4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7"/>
      <c r="EL3" s="8"/>
    </row>
    <row r="4" spans="2:142" ht="14.25" customHeight="1">
      <c r="B4" s="28">
        <f>B3+1</f>
        <v>2</v>
      </c>
      <c r="C4" s="29" t="s">
        <v>27</v>
      </c>
      <c r="D4" s="39"/>
      <c r="E4" s="30"/>
      <c r="F4" s="31">
        <v>6</v>
      </c>
      <c r="G4" s="32">
        <v>45843</v>
      </c>
      <c r="H4" s="32">
        <v>45843</v>
      </c>
      <c r="I4" s="33"/>
      <c r="J4" s="33"/>
      <c r="K4" s="28"/>
      <c r="L4" s="34"/>
      <c r="M4" s="34"/>
      <c r="N4" s="35">
        <v>1</v>
      </c>
      <c r="O4" s="29"/>
      <c r="P4" s="33">
        <v>43160</v>
      </c>
      <c r="Q4" s="36">
        <v>43167</v>
      </c>
      <c r="R4" s="37"/>
      <c r="S4" s="37"/>
      <c r="T4" s="28"/>
      <c r="U4" s="37"/>
      <c r="V4" s="37"/>
      <c r="W4" s="37"/>
      <c r="X4" s="28" t="s">
        <v>25</v>
      </c>
      <c r="Y4" s="38">
        <v>1</v>
      </c>
      <c r="AV4" s="41"/>
      <c r="AW4" s="41"/>
      <c r="AX4" s="41"/>
      <c r="AY4" s="41"/>
      <c r="AZ4" s="41"/>
      <c r="BA4" s="41"/>
      <c r="BB4" s="42" t="s">
        <v>28</v>
      </c>
      <c r="BC4" s="43"/>
      <c r="BD4" s="43"/>
      <c r="BE4" s="43"/>
      <c r="BF4" s="43"/>
      <c r="BG4" s="43"/>
      <c r="BH4" s="43"/>
      <c r="BI4" s="44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7"/>
      <c r="EL4" s="8"/>
    </row>
    <row r="5" spans="2:142" s="5" customFormat="1" ht="14.25" customHeight="1">
      <c r="B5" s="18">
        <f t="shared" ref="B5:B61" si="2">B4+1</f>
        <v>3</v>
      </c>
      <c r="C5" s="19" t="s">
        <v>29</v>
      </c>
      <c r="D5" s="19" t="s">
        <v>30</v>
      </c>
      <c r="E5" s="20">
        <v>1</v>
      </c>
      <c r="F5" s="21">
        <v>2</v>
      </c>
      <c r="G5" s="22">
        <v>45843</v>
      </c>
      <c r="H5" s="22" t="e">
        <f ca="1">CalcWorkDate(G5,F5)</f>
        <v>#NAME?</v>
      </c>
      <c r="I5" s="23"/>
      <c r="J5" s="23"/>
      <c r="K5" s="18" t="s">
        <v>31</v>
      </c>
      <c r="L5" s="24">
        <v>120</v>
      </c>
      <c r="M5" s="24">
        <v>80</v>
      </c>
      <c r="N5" s="25">
        <v>1</v>
      </c>
      <c r="O5" s="19"/>
      <c r="P5" s="23">
        <v>43160</v>
      </c>
      <c r="Q5" s="26">
        <v>43161</v>
      </c>
      <c r="R5" s="27"/>
      <c r="S5" s="27"/>
      <c r="T5" s="18"/>
      <c r="U5" s="27"/>
      <c r="V5" s="27"/>
      <c r="W5" s="27"/>
      <c r="X5" s="18" t="s">
        <v>32</v>
      </c>
      <c r="Y5" s="18">
        <v>2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 s="41"/>
      <c r="AW5" s="41"/>
      <c r="AX5" s="41"/>
      <c r="AY5" s="41"/>
      <c r="AZ5" s="41"/>
      <c r="BA5" s="41"/>
      <c r="BB5" s="45">
        <v>1</v>
      </c>
      <c r="BC5" s="46"/>
      <c r="BD5" s="41" t="s">
        <v>33</v>
      </c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7"/>
      <c r="EL5" s="8"/>
    </row>
    <row r="6" spans="2:142" s="5" customFormat="1" ht="14.25" customHeight="1">
      <c r="B6" s="18">
        <f t="shared" si="2"/>
        <v>4</v>
      </c>
      <c r="C6" s="19" t="s">
        <v>34</v>
      </c>
      <c r="D6" s="19" t="s">
        <v>30</v>
      </c>
      <c r="E6" s="20">
        <v>1</v>
      </c>
      <c r="F6" s="21">
        <v>1</v>
      </c>
      <c r="G6" s="22" t="e">
        <f ca="1">IF(F6=0,VLOOKUP(O6,$C$3:$O$96,6,FALSE),CalcWorkDate(VLOOKUP(O6,$C$3:$O$96,6,FALSE),2))</f>
        <v>#NAME?</v>
      </c>
      <c r="H6" s="22" t="e">
        <f t="shared" ref="H6:H61" ca="1" si="3">CalcWorkDate(G6,F6)</f>
        <v>#NAME?</v>
      </c>
      <c r="I6" s="23"/>
      <c r="J6" s="23"/>
      <c r="K6" s="18" t="s">
        <v>35</v>
      </c>
      <c r="L6" s="24">
        <v>50</v>
      </c>
      <c r="M6" s="24">
        <v>40</v>
      </c>
      <c r="N6" s="25">
        <v>1</v>
      </c>
      <c r="O6" s="19" t="s">
        <v>29</v>
      </c>
      <c r="P6" s="23">
        <v>43164</v>
      </c>
      <c r="Q6" s="26">
        <v>43164</v>
      </c>
      <c r="R6" s="27"/>
      <c r="S6" s="27"/>
      <c r="T6" s="18"/>
      <c r="U6" s="27"/>
      <c r="V6" s="27"/>
      <c r="W6" s="27"/>
      <c r="X6" s="18" t="s">
        <v>32</v>
      </c>
      <c r="Y6" s="18">
        <v>2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5">
        <v>1</v>
      </c>
      <c r="BG6" s="41" t="s">
        <v>36</v>
      </c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7"/>
      <c r="EL6" s="8"/>
    </row>
    <row r="7" spans="2:142" s="5" customFormat="1" ht="14.25" customHeight="1">
      <c r="B7" s="18">
        <f t="shared" si="2"/>
        <v>5</v>
      </c>
      <c r="C7" s="19" t="s">
        <v>37</v>
      </c>
      <c r="D7" s="19" t="s">
        <v>30</v>
      </c>
      <c r="E7" s="20">
        <v>1</v>
      </c>
      <c r="F7" s="21">
        <v>3</v>
      </c>
      <c r="G7" s="22" t="e">
        <f ca="1">IF(F7=0,VLOOKUP(O7,$C$3:$O$96,6,FALSE),CalcWorkDate(VLOOKUP(O7,$C$3:$O$96,6,FALSE),2))</f>
        <v>#NAME?</v>
      </c>
      <c r="H7" s="22" t="e">
        <f t="shared" ca="1" si="3"/>
        <v>#NAME?</v>
      </c>
      <c r="I7" s="23"/>
      <c r="J7" s="23"/>
      <c r="K7" s="18" t="s">
        <v>31</v>
      </c>
      <c r="L7" s="24">
        <v>66</v>
      </c>
      <c r="M7" s="24">
        <v>60</v>
      </c>
      <c r="N7" s="25">
        <v>1</v>
      </c>
      <c r="O7" s="19" t="s">
        <v>34</v>
      </c>
      <c r="P7" s="23">
        <v>43165</v>
      </c>
      <c r="Q7" s="26">
        <v>43167</v>
      </c>
      <c r="R7" s="27"/>
      <c r="S7" s="27"/>
      <c r="T7" s="18"/>
      <c r="U7" s="27"/>
      <c r="V7" s="27"/>
      <c r="W7" s="27"/>
      <c r="X7" s="18" t="s">
        <v>32</v>
      </c>
      <c r="Y7" s="18">
        <v>2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5">
        <v>1</v>
      </c>
      <c r="BH7" s="46"/>
      <c r="BI7" s="46"/>
      <c r="BJ7" s="41" t="s">
        <v>38</v>
      </c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7"/>
      <c r="EL7" s="8"/>
    </row>
    <row r="8" spans="2:142" ht="14.25" customHeight="1" thickBot="1">
      <c r="B8" s="18">
        <f t="shared" si="2"/>
        <v>6</v>
      </c>
      <c r="C8" s="19" t="s">
        <v>39</v>
      </c>
      <c r="D8" s="19" t="s">
        <v>30</v>
      </c>
      <c r="E8" s="20">
        <v>1</v>
      </c>
      <c r="F8" s="21">
        <v>4</v>
      </c>
      <c r="G8" s="22" t="e">
        <f t="shared" ref="G8:G61" ca="1" si="4">IF(F8=0,VLOOKUP(O8,$C$3:$O$96,6,FALSE),CalcWorkDate(VLOOKUP(O8,$C$3:$O$96,6,FALSE),2))</f>
        <v>#NAME?</v>
      </c>
      <c r="H8" s="22" t="e">
        <f t="shared" ca="1" si="3"/>
        <v>#NAME?</v>
      </c>
      <c r="I8" s="23"/>
      <c r="J8" s="23"/>
      <c r="K8" s="18" t="s">
        <v>31</v>
      </c>
      <c r="L8" s="24">
        <v>78</v>
      </c>
      <c r="M8" s="24">
        <v>70</v>
      </c>
      <c r="N8" s="25">
        <v>1</v>
      </c>
      <c r="O8" s="19" t="s">
        <v>37</v>
      </c>
      <c r="P8" s="23">
        <v>43168</v>
      </c>
      <c r="Q8" s="26">
        <v>43173</v>
      </c>
      <c r="R8" s="27"/>
      <c r="S8" s="27"/>
      <c r="T8" s="18"/>
      <c r="U8" s="27"/>
      <c r="V8" s="27"/>
      <c r="W8" s="27"/>
      <c r="X8" s="18" t="s">
        <v>32</v>
      </c>
      <c r="Y8" s="18">
        <v>1</v>
      </c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5">
        <v>1</v>
      </c>
      <c r="BK8" s="46"/>
      <c r="BL8" s="46"/>
      <c r="BM8" s="46"/>
      <c r="BN8" s="46"/>
      <c r="BO8" s="46"/>
      <c r="BP8" s="41" t="s">
        <v>40</v>
      </c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7"/>
      <c r="EL8" s="8"/>
    </row>
    <row r="9" spans="2:142" ht="14.25" customHeight="1">
      <c r="B9" s="28">
        <f t="shared" si="2"/>
        <v>7</v>
      </c>
      <c r="C9" s="29" t="s">
        <v>41</v>
      </c>
      <c r="D9" s="39"/>
      <c r="E9" s="30"/>
      <c r="F9" s="31">
        <v>11</v>
      </c>
      <c r="G9" s="32">
        <v>45843</v>
      </c>
      <c r="H9" s="32">
        <v>43188</v>
      </c>
      <c r="I9" s="33"/>
      <c r="J9" s="33"/>
      <c r="K9" s="28"/>
      <c r="L9" s="34"/>
      <c r="M9" s="34"/>
      <c r="N9" s="35">
        <v>0.80000001733953308</v>
      </c>
      <c r="O9" s="29"/>
      <c r="P9" s="33"/>
      <c r="Q9" s="36"/>
      <c r="R9" s="37"/>
      <c r="S9" s="37"/>
      <c r="T9" s="28"/>
      <c r="U9" s="37"/>
      <c r="V9" s="37"/>
      <c r="W9" s="37"/>
      <c r="X9" s="28" t="s">
        <v>25</v>
      </c>
      <c r="Y9" s="28">
        <v>1</v>
      </c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2" t="s">
        <v>42</v>
      </c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4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7"/>
      <c r="EL9" s="8"/>
    </row>
    <row r="10" spans="2:142" s="5" customFormat="1">
      <c r="B10" s="18">
        <f t="shared" si="2"/>
        <v>8</v>
      </c>
      <c r="C10" s="19" t="s">
        <v>43</v>
      </c>
      <c r="D10" s="19" t="s">
        <v>44</v>
      </c>
      <c r="E10" s="20">
        <v>1</v>
      </c>
      <c r="F10" s="21">
        <v>5</v>
      </c>
      <c r="G10" s="22">
        <v>45843</v>
      </c>
      <c r="H10" s="22" t="e">
        <f t="shared" ca="1" si="3"/>
        <v>#NAME?</v>
      </c>
      <c r="I10" s="23"/>
      <c r="J10" s="23"/>
      <c r="K10" s="18" t="s">
        <v>45</v>
      </c>
      <c r="L10" s="24">
        <v>10240</v>
      </c>
      <c r="M10" s="24">
        <v>1024</v>
      </c>
      <c r="N10" s="25">
        <v>0.8</v>
      </c>
      <c r="O10" s="19" t="s">
        <v>39</v>
      </c>
      <c r="P10" s="23"/>
      <c r="Q10" s="26"/>
      <c r="R10" s="27"/>
      <c r="S10" s="27"/>
      <c r="T10" s="18"/>
      <c r="U10" s="27"/>
      <c r="V10" s="27"/>
      <c r="W10" s="27"/>
      <c r="X10" s="18" t="s">
        <v>32</v>
      </c>
      <c r="Y10" s="18">
        <v>2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5">
        <v>0.8</v>
      </c>
      <c r="BQ10" s="46"/>
      <c r="BR10" s="46"/>
      <c r="BS10" s="46"/>
      <c r="BT10" s="46"/>
      <c r="BU10" s="46"/>
      <c r="BV10" s="46"/>
      <c r="BW10" s="41" t="s">
        <v>46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7"/>
      <c r="EL10" s="8"/>
    </row>
    <row r="11" spans="2:142" s="5" customFormat="1" ht="14.7" thickBot="1">
      <c r="B11" s="18">
        <f t="shared" si="2"/>
        <v>9</v>
      </c>
      <c r="C11" s="19" t="s">
        <v>47</v>
      </c>
      <c r="D11" s="19" t="s">
        <v>44</v>
      </c>
      <c r="E11" s="20">
        <v>1</v>
      </c>
      <c r="F11" s="21">
        <v>6</v>
      </c>
      <c r="G11" s="22" t="e">
        <f t="shared" ca="1" si="4"/>
        <v>#NAME?</v>
      </c>
      <c r="H11" s="22" t="e">
        <f t="shared" ca="1" si="3"/>
        <v>#NAME?</v>
      </c>
      <c r="I11" s="23"/>
      <c r="J11" s="23"/>
      <c r="K11" s="18" t="s">
        <v>45</v>
      </c>
      <c r="L11" s="24">
        <v>560</v>
      </c>
      <c r="M11" s="24">
        <v>500</v>
      </c>
      <c r="N11" s="25">
        <v>0.8</v>
      </c>
      <c r="O11" s="19" t="s">
        <v>43</v>
      </c>
      <c r="P11" s="23"/>
      <c r="Q11" s="26"/>
      <c r="R11" s="27"/>
      <c r="S11" s="27"/>
      <c r="T11" s="18"/>
      <c r="U11" s="27"/>
      <c r="V11" s="27"/>
      <c r="W11" s="27"/>
      <c r="X11" s="18" t="s">
        <v>32</v>
      </c>
      <c r="Y11" s="18">
        <v>2</v>
      </c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5">
        <v>0.8</v>
      </c>
      <c r="BX11" s="46"/>
      <c r="BY11" s="46"/>
      <c r="BZ11" s="46"/>
      <c r="CA11" s="46"/>
      <c r="CB11" s="46"/>
      <c r="CC11" s="46"/>
      <c r="CD11" s="46"/>
      <c r="CE11" s="41" t="s">
        <v>48</v>
      </c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7"/>
      <c r="EL11" s="8"/>
    </row>
    <row r="12" spans="2:142" ht="14.25" customHeight="1">
      <c r="B12" s="28">
        <f t="shared" si="2"/>
        <v>10</v>
      </c>
      <c r="C12" s="29" t="s">
        <v>49</v>
      </c>
      <c r="D12" s="39"/>
      <c r="E12" s="30"/>
      <c r="F12" s="31">
        <v>13</v>
      </c>
      <c r="G12" s="32">
        <v>45843</v>
      </c>
      <c r="H12" s="32">
        <v>43207</v>
      </c>
      <c r="I12" s="33"/>
      <c r="J12" s="33"/>
      <c r="K12" s="28"/>
      <c r="L12" s="34"/>
      <c r="M12" s="34"/>
      <c r="N12" s="35">
        <v>0.23846153112558219</v>
      </c>
      <c r="O12" s="29"/>
      <c r="P12" s="33"/>
      <c r="Q12" s="36"/>
      <c r="R12" s="37"/>
      <c r="S12" s="37"/>
      <c r="T12" s="28"/>
      <c r="U12" s="37"/>
      <c r="V12" s="37"/>
      <c r="W12" s="37"/>
      <c r="X12" s="28" t="s">
        <v>25</v>
      </c>
      <c r="Y12" s="28">
        <v>1</v>
      </c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2" t="s">
        <v>50</v>
      </c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4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7"/>
      <c r="EL12" s="8"/>
    </row>
    <row r="13" spans="2:142" s="5" customFormat="1" ht="14.25" customHeight="1">
      <c r="B13" s="18">
        <f t="shared" si="2"/>
        <v>11</v>
      </c>
      <c r="C13" s="19" t="s">
        <v>51</v>
      </c>
      <c r="D13" s="19" t="s">
        <v>52</v>
      </c>
      <c r="E13" s="20">
        <v>1</v>
      </c>
      <c r="F13" s="21">
        <v>1</v>
      </c>
      <c r="G13" s="22">
        <v>45843</v>
      </c>
      <c r="H13" s="22" t="e">
        <f ca="1">CalcWorkDate(G13,F13)</f>
        <v>#NAME?</v>
      </c>
      <c r="I13" s="23"/>
      <c r="J13" s="23"/>
      <c r="K13" s="18" t="s">
        <v>53</v>
      </c>
      <c r="L13" s="24">
        <v>100</v>
      </c>
      <c r="M13" s="24">
        <v>60</v>
      </c>
      <c r="N13" s="25">
        <v>0.5</v>
      </c>
      <c r="O13" s="19" t="s">
        <v>47</v>
      </c>
      <c r="P13" s="23"/>
      <c r="Q13" s="26"/>
      <c r="R13" s="27"/>
      <c r="S13" s="27"/>
      <c r="T13" s="18"/>
      <c r="U13" s="27"/>
      <c r="V13" s="27"/>
      <c r="W13" s="27"/>
      <c r="X13" s="18" t="s">
        <v>32</v>
      </c>
      <c r="Y13" s="18">
        <v>2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5">
        <v>0.6</v>
      </c>
      <c r="CF13" s="41" t="s">
        <v>54</v>
      </c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7"/>
      <c r="EL13" s="8"/>
    </row>
    <row r="14" spans="2:142" s="5" customFormat="1" ht="14.25" customHeight="1">
      <c r="B14" s="18">
        <f t="shared" si="2"/>
        <v>12</v>
      </c>
      <c r="C14" s="19" t="s">
        <v>55</v>
      </c>
      <c r="D14" s="19" t="s">
        <v>52</v>
      </c>
      <c r="E14" s="20">
        <v>1</v>
      </c>
      <c r="F14" s="21">
        <v>5</v>
      </c>
      <c r="G14" s="22" t="e">
        <f t="shared" ca="1" si="4"/>
        <v>#NAME?</v>
      </c>
      <c r="H14" s="22" t="e">
        <f t="shared" ca="1" si="3"/>
        <v>#NAME?</v>
      </c>
      <c r="I14" s="23"/>
      <c r="J14" s="23"/>
      <c r="K14" s="18" t="s">
        <v>53</v>
      </c>
      <c r="L14" s="24">
        <v>200</v>
      </c>
      <c r="M14" s="24">
        <v>20</v>
      </c>
      <c r="N14" s="25">
        <v>0.3</v>
      </c>
      <c r="O14" s="19" t="s">
        <v>51</v>
      </c>
      <c r="P14" s="23"/>
      <c r="Q14" s="26"/>
      <c r="R14" s="27"/>
      <c r="S14" s="27"/>
      <c r="T14" s="18"/>
      <c r="U14" s="27"/>
      <c r="V14" s="27"/>
      <c r="W14" s="27"/>
      <c r="X14" s="18" t="s">
        <v>32</v>
      </c>
      <c r="Y14" s="18">
        <v>2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5">
        <v>0.1</v>
      </c>
      <c r="CI14" s="46"/>
      <c r="CJ14" s="46"/>
      <c r="CK14" s="46"/>
      <c r="CL14" s="46"/>
      <c r="CM14" s="41" t="s">
        <v>56</v>
      </c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7"/>
      <c r="EL14" s="8"/>
    </row>
    <row r="15" spans="2:142" s="5" customFormat="1" ht="14.25" customHeight="1">
      <c r="B15" s="18">
        <f t="shared" si="2"/>
        <v>13</v>
      </c>
      <c r="C15" s="19" t="s">
        <v>57</v>
      </c>
      <c r="D15" s="19" t="s">
        <v>52</v>
      </c>
      <c r="E15" s="20">
        <v>1</v>
      </c>
      <c r="F15" s="21">
        <v>2</v>
      </c>
      <c r="G15" s="22" t="e">
        <f t="shared" ca="1" si="4"/>
        <v>#NAME?</v>
      </c>
      <c r="H15" s="22" t="e">
        <f t="shared" ca="1" si="3"/>
        <v>#NAME?</v>
      </c>
      <c r="I15" s="23"/>
      <c r="J15" s="23"/>
      <c r="K15" s="18" t="s">
        <v>53</v>
      </c>
      <c r="L15" s="24">
        <v>356</v>
      </c>
      <c r="M15" s="24">
        <v>356</v>
      </c>
      <c r="N15" s="25">
        <v>1</v>
      </c>
      <c r="O15" s="19" t="s">
        <v>55</v>
      </c>
      <c r="P15" s="23"/>
      <c r="Q15" s="26"/>
      <c r="R15" s="27"/>
      <c r="S15" s="27"/>
      <c r="T15" s="18"/>
      <c r="U15" s="27"/>
      <c r="V15" s="27"/>
      <c r="W15" s="27"/>
      <c r="X15" s="18" t="s">
        <v>32</v>
      </c>
      <c r="Y15" s="18">
        <v>2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5">
        <v>1</v>
      </c>
      <c r="CP15" s="46"/>
      <c r="CQ15" s="41" t="s">
        <v>58</v>
      </c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7"/>
      <c r="EL15" s="8"/>
    </row>
    <row r="16" spans="2:142" s="5" customFormat="1" ht="14.25" customHeight="1" thickBot="1">
      <c r="B16" s="18">
        <f t="shared" si="2"/>
        <v>14</v>
      </c>
      <c r="C16" s="19" t="s">
        <v>59</v>
      </c>
      <c r="D16" s="19" t="s">
        <v>52</v>
      </c>
      <c r="E16" s="20">
        <v>0.5</v>
      </c>
      <c r="F16" s="21">
        <v>5</v>
      </c>
      <c r="G16" s="22" t="e">
        <f t="shared" ca="1" si="4"/>
        <v>#NAME?</v>
      </c>
      <c r="H16" s="22" t="e">
        <f ca="1">CalcWorkDate(G16,F16)</f>
        <v>#NAME?</v>
      </c>
      <c r="I16" s="23"/>
      <c r="J16" s="23"/>
      <c r="K16" s="18"/>
      <c r="L16" s="24"/>
      <c r="M16" s="24"/>
      <c r="N16" s="25">
        <v>0</v>
      </c>
      <c r="O16" s="19" t="s">
        <v>57</v>
      </c>
      <c r="P16" s="23"/>
      <c r="Q16" s="26"/>
      <c r="R16" s="27"/>
      <c r="S16" s="27"/>
      <c r="T16" s="18"/>
      <c r="U16" s="27"/>
      <c r="V16" s="27"/>
      <c r="W16" s="27"/>
      <c r="X16" s="18" t="s">
        <v>32</v>
      </c>
      <c r="Y16" s="18">
        <v>2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5">
        <v>0</v>
      </c>
      <c r="CR16" s="46"/>
      <c r="CS16" s="46"/>
      <c r="CT16" s="46"/>
      <c r="CU16" s="46"/>
      <c r="CV16" s="46"/>
      <c r="CW16" s="46"/>
      <c r="CX16" s="41" t="s">
        <v>60</v>
      </c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7"/>
      <c r="EL16" s="8"/>
    </row>
    <row r="17" spans="2:142" ht="14.25" customHeight="1" thickBot="1">
      <c r="B17" s="28">
        <f t="shared" si="2"/>
        <v>15</v>
      </c>
      <c r="C17" s="29" t="s">
        <v>61</v>
      </c>
      <c r="D17" s="29"/>
      <c r="E17" s="35"/>
      <c r="F17" s="34">
        <v>16</v>
      </c>
      <c r="G17" s="32">
        <v>45843</v>
      </c>
      <c r="H17" s="32">
        <v>45843</v>
      </c>
      <c r="I17" s="33"/>
      <c r="J17" s="33"/>
      <c r="K17" s="28"/>
      <c r="L17" s="34"/>
      <c r="M17" s="34"/>
      <c r="N17" s="35">
        <v>0.70375001430511475</v>
      </c>
      <c r="O17" s="29"/>
      <c r="P17" s="33"/>
      <c r="Q17" s="36"/>
      <c r="R17" s="37"/>
      <c r="S17" s="37"/>
      <c r="T17" s="28"/>
      <c r="U17" s="37"/>
      <c r="V17" s="37"/>
      <c r="W17" s="37"/>
      <c r="X17" s="28" t="s">
        <v>25</v>
      </c>
      <c r="Y17" s="28">
        <v>0</v>
      </c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2" t="s">
        <v>62</v>
      </c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4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7"/>
      <c r="EL17" s="8"/>
    </row>
    <row r="18" spans="2:142" ht="14.25" customHeight="1">
      <c r="B18" s="28">
        <f t="shared" si="2"/>
        <v>16</v>
      </c>
      <c r="C18" s="29" t="s">
        <v>63</v>
      </c>
      <c r="D18" s="39"/>
      <c r="E18" s="35"/>
      <c r="F18" s="34">
        <v>10</v>
      </c>
      <c r="G18" s="32">
        <v>45843</v>
      </c>
      <c r="H18" s="32">
        <v>45843</v>
      </c>
      <c r="I18" s="40"/>
      <c r="J18" s="33"/>
      <c r="K18" s="28"/>
      <c r="L18" s="34"/>
      <c r="M18" s="34"/>
      <c r="N18" s="35">
        <v>0.7070000171661377</v>
      </c>
      <c r="O18" s="29"/>
      <c r="P18" s="33"/>
      <c r="Q18" s="36"/>
      <c r="R18" s="37"/>
      <c r="S18" s="37"/>
      <c r="T18" s="28"/>
      <c r="U18" s="37"/>
      <c r="V18" s="37"/>
      <c r="W18" s="37"/>
      <c r="X18" s="28" t="s">
        <v>25</v>
      </c>
      <c r="Y18" s="28">
        <v>1</v>
      </c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2" t="s">
        <v>64</v>
      </c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4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7"/>
      <c r="EL18" s="8"/>
    </row>
    <row r="19" spans="2:142" s="5" customFormat="1" ht="14.25" customHeight="1">
      <c r="B19" s="18">
        <f t="shared" si="2"/>
        <v>17</v>
      </c>
      <c r="C19" s="19" t="s">
        <v>65</v>
      </c>
      <c r="D19" s="19" t="s">
        <v>52</v>
      </c>
      <c r="E19" s="25">
        <v>1</v>
      </c>
      <c r="F19" s="24">
        <v>5</v>
      </c>
      <c r="G19" s="22">
        <v>45843</v>
      </c>
      <c r="H19" s="22" t="e">
        <f t="shared" ca="1" si="3"/>
        <v>#NAME?</v>
      </c>
      <c r="I19" s="23"/>
      <c r="J19" s="23"/>
      <c r="K19" s="18" t="s">
        <v>53</v>
      </c>
      <c r="L19" s="24">
        <v>56</v>
      </c>
      <c r="M19" s="24">
        <v>56</v>
      </c>
      <c r="N19" s="25">
        <v>0.6</v>
      </c>
      <c r="O19" s="19" t="s">
        <v>59</v>
      </c>
      <c r="P19" s="23"/>
      <c r="Q19" s="26"/>
      <c r="R19" s="27"/>
      <c r="S19" s="27"/>
      <c r="T19" s="18"/>
      <c r="U19" s="27"/>
      <c r="V19" s="27"/>
      <c r="W19" s="27"/>
      <c r="X19" s="18" t="s">
        <v>32</v>
      </c>
      <c r="Y19" s="18">
        <v>2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5">
        <v>0.6</v>
      </c>
      <c r="CY19" s="46"/>
      <c r="CZ19" s="46"/>
      <c r="DA19" s="46"/>
      <c r="DB19" s="46"/>
      <c r="DC19" s="46"/>
      <c r="DD19" s="46"/>
      <c r="DE19" s="41" t="s">
        <v>66</v>
      </c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7"/>
      <c r="EL19" s="8"/>
    </row>
    <row r="20" spans="2:142" s="5" customFormat="1" ht="14.25" customHeight="1">
      <c r="B20" s="18">
        <f t="shared" si="2"/>
        <v>18</v>
      </c>
      <c r="C20" s="19" t="s">
        <v>67</v>
      </c>
      <c r="D20" s="19" t="s">
        <v>52</v>
      </c>
      <c r="E20" s="25">
        <v>1</v>
      </c>
      <c r="F20" s="24">
        <v>2</v>
      </c>
      <c r="G20" s="22" t="e">
        <f t="shared" ca="1" si="4"/>
        <v>#NAME?</v>
      </c>
      <c r="H20" s="22" t="e">
        <f t="shared" ca="1" si="3"/>
        <v>#NAME?</v>
      </c>
      <c r="I20" s="23"/>
      <c r="J20" s="23"/>
      <c r="K20" s="18" t="s">
        <v>53</v>
      </c>
      <c r="L20" s="24">
        <v>50</v>
      </c>
      <c r="M20" s="24">
        <v>50</v>
      </c>
      <c r="N20" s="25">
        <v>0.88</v>
      </c>
      <c r="O20" s="19" t="s">
        <v>65</v>
      </c>
      <c r="P20" s="23"/>
      <c r="Q20" s="26"/>
      <c r="R20" s="27"/>
      <c r="S20" s="27"/>
      <c r="T20" s="18"/>
      <c r="U20" s="27"/>
      <c r="V20" s="27"/>
      <c r="W20" s="27"/>
      <c r="X20" s="18" t="s">
        <v>32</v>
      </c>
      <c r="Y20" s="18">
        <v>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5">
        <v>0.88</v>
      </c>
      <c r="DF20" s="46"/>
      <c r="DG20" s="41" t="s">
        <v>68</v>
      </c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7"/>
      <c r="EL20" s="8"/>
    </row>
    <row r="21" spans="2:142" s="5" customFormat="1" ht="14.25" customHeight="1" thickBot="1">
      <c r="B21" s="18">
        <f t="shared" si="2"/>
        <v>19</v>
      </c>
      <c r="C21" s="19" t="s">
        <v>69</v>
      </c>
      <c r="D21" s="19" t="s">
        <v>52</v>
      </c>
      <c r="E21" s="25">
        <v>1</v>
      </c>
      <c r="F21" s="24">
        <v>3</v>
      </c>
      <c r="G21" s="22" t="e">
        <f t="shared" ca="1" si="4"/>
        <v>#NAME?</v>
      </c>
      <c r="H21" s="22" t="e">
        <f t="shared" ca="1" si="3"/>
        <v>#NAME?</v>
      </c>
      <c r="I21" s="23"/>
      <c r="J21" s="23"/>
      <c r="K21" s="18" t="s">
        <v>53</v>
      </c>
      <c r="L21" s="24">
        <v>40</v>
      </c>
      <c r="M21" s="24">
        <v>40</v>
      </c>
      <c r="N21" s="25">
        <v>0.77</v>
      </c>
      <c r="O21" s="19" t="s">
        <v>67</v>
      </c>
      <c r="P21" s="23"/>
      <c r="Q21" s="26"/>
      <c r="R21" s="27"/>
      <c r="S21" s="27"/>
      <c r="T21" s="18"/>
      <c r="U21" s="27"/>
      <c r="V21" s="27"/>
      <c r="W21" s="27"/>
      <c r="X21" s="18" t="s">
        <v>32</v>
      </c>
      <c r="Y21" s="18">
        <v>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5">
        <v>0.77</v>
      </c>
      <c r="DH21" s="46"/>
      <c r="DI21" s="46"/>
      <c r="DJ21" s="46"/>
      <c r="DK21" s="46"/>
      <c r="DL21" s="41" t="s">
        <v>70</v>
      </c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7"/>
      <c r="EL21" s="8"/>
    </row>
    <row r="22" spans="2:142" ht="14.25" customHeight="1">
      <c r="B22" s="28">
        <f t="shared" si="2"/>
        <v>20</v>
      </c>
      <c r="C22" s="29" t="s">
        <v>71</v>
      </c>
      <c r="D22" s="39"/>
      <c r="E22" s="35"/>
      <c r="F22" s="34">
        <v>6</v>
      </c>
      <c r="G22" s="32">
        <v>45843</v>
      </c>
      <c r="H22" s="32">
        <v>43229</v>
      </c>
      <c r="I22" s="33"/>
      <c r="J22" s="33"/>
      <c r="K22" s="28"/>
      <c r="L22" s="34"/>
      <c r="M22" s="34"/>
      <c r="N22" s="35">
        <v>0.69833334287007653</v>
      </c>
      <c r="O22" s="29"/>
      <c r="P22" s="33"/>
      <c r="Q22" s="36"/>
      <c r="R22" s="37"/>
      <c r="S22" s="37"/>
      <c r="T22" s="28"/>
      <c r="U22" s="37"/>
      <c r="V22" s="37"/>
      <c r="W22" s="37"/>
      <c r="X22" s="28" t="s">
        <v>25</v>
      </c>
      <c r="Y22" s="28">
        <v>1</v>
      </c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2" t="s">
        <v>72</v>
      </c>
      <c r="DM22" s="43"/>
      <c r="DN22" s="43"/>
      <c r="DO22" s="43"/>
      <c r="DP22" s="43"/>
      <c r="DQ22" s="43"/>
      <c r="DR22" s="43"/>
      <c r="DS22" s="44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7"/>
      <c r="EL22" s="8"/>
    </row>
    <row r="23" spans="2:142" s="5" customFormat="1" ht="14.25" customHeight="1">
      <c r="B23" s="18">
        <f t="shared" si="2"/>
        <v>21</v>
      </c>
      <c r="C23" s="19" t="s">
        <v>73</v>
      </c>
      <c r="D23" s="19" t="s">
        <v>52</v>
      </c>
      <c r="E23" s="25">
        <v>1</v>
      </c>
      <c r="F23" s="24">
        <v>1</v>
      </c>
      <c r="G23" s="22" t="e">
        <f t="shared" ca="1" si="4"/>
        <v>#NAME?</v>
      </c>
      <c r="H23" s="22" t="e">
        <f t="shared" ca="1" si="3"/>
        <v>#NAME?</v>
      </c>
      <c r="I23" s="23"/>
      <c r="J23" s="23"/>
      <c r="K23" s="18" t="s">
        <v>53</v>
      </c>
      <c r="L23" s="24">
        <v>56</v>
      </c>
      <c r="M23" s="24">
        <v>56</v>
      </c>
      <c r="N23" s="25">
        <v>0.56000000000000005</v>
      </c>
      <c r="O23" s="19" t="s">
        <v>69</v>
      </c>
      <c r="P23" s="23"/>
      <c r="Q23" s="26"/>
      <c r="R23" s="27"/>
      <c r="S23" s="27"/>
      <c r="T23" s="18"/>
      <c r="U23" s="27"/>
      <c r="V23" s="27"/>
      <c r="W23" s="27"/>
      <c r="X23" s="18" t="s">
        <v>32</v>
      </c>
      <c r="Y23" s="18">
        <v>2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5">
        <v>0.56000000000000005</v>
      </c>
      <c r="DM23" s="41" t="s">
        <v>66</v>
      </c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7"/>
      <c r="EL23" s="8"/>
    </row>
    <row r="24" spans="2:142" s="5" customFormat="1" ht="14.25" customHeight="1">
      <c r="B24" s="18">
        <f t="shared" si="2"/>
        <v>22</v>
      </c>
      <c r="C24" s="19" t="s">
        <v>74</v>
      </c>
      <c r="D24" s="19" t="s">
        <v>52</v>
      </c>
      <c r="E24" s="25">
        <v>1</v>
      </c>
      <c r="F24" s="24">
        <v>2</v>
      </c>
      <c r="G24" s="22">
        <v>45843</v>
      </c>
      <c r="H24" s="22" t="e">
        <f t="shared" ca="1" si="3"/>
        <v>#NAME?</v>
      </c>
      <c r="I24" s="23"/>
      <c r="J24" s="23"/>
      <c r="K24" s="18" t="s">
        <v>53</v>
      </c>
      <c r="L24" s="24">
        <v>50</v>
      </c>
      <c r="M24" s="24">
        <v>50</v>
      </c>
      <c r="N24" s="25">
        <v>0.78</v>
      </c>
      <c r="O24" s="19" t="s">
        <v>73</v>
      </c>
      <c r="P24" s="23"/>
      <c r="Q24" s="26"/>
      <c r="R24" s="27"/>
      <c r="S24" s="27"/>
      <c r="T24" s="18"/>
      <c r="U24" s="27"/>
      <c r="V24" s="27"/>
      <c r="W24" s="27"/>
      <c r="X24" s="18" t="s">
        <v>32</v>
      </c>
      <c r="Y24" s="18">
        <v>2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5">
        <v>0.78</v>
      </c>
      <c r="DN24" s="46"/>
      <c r="DO24" s="41" t="s">
        <v>68</v>
      </c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7"/>
      <c r="EL24" s="8"/>
    </row>
    <row r="25" spans="2:142" s="5" customFormat="1" ht="14.25" customHeight="1" thickBot="1">
      <c r="B25" s="18">
        <f t="shared" si="2"/>
        <v>23</v>
      </c>
      <c r="C25" s="19" t="s">
        <v>75</v>
      </c>
      <c r="D25" s="19" t="s">
        <v>52</v>
      </c>
      <c r="E25" s="25">
        <v>1</v>
      </c>
      <c r="F25" s="24">
        <v>3</v>
      </c>
      <c r="G25" s="22" t="e">
        <f t="shared" ca="1" si="4"/>
        <v>#NAME?</v>
      </c>
      <c r="H25" s="22" t="e">
        <f t="shared" ca="1" si="3"/>
        <v>#NAME?</v>
      </c>
      <c r="I25" s="23"/>
      <c r="J25" s="23"/>
      <c r="K25" s="18" t="s">
        <v>53</v>
      </c>
      <c r="L25" s="24">
        <v>40</v>
      </c>
      <c r="M25" s="24">
        <v>40</v>
      </c>
      <c r="N25" s="25">
        <v>0.69</v>
      </c>
      <c r="O25" s="19" t="s">
        <v>74</v>
      </c>
      <c r="P25" s="23"/>
      <c r="Q25" s="26"/>
      <c r="R25" s="27"/>
      <c r="S25" s="27"/>
      <c r="T25" s="18"/>
      <c r="U25" s="27"/>
      <c r="V25" s="27"/>
      <c r="W25" s="27"/>
      <c r="X25" s="18" t="s">
        <v>32</v>
      </c>
      <c r="Y25" s="18">
        <v>2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5">
        <v>0.69</v>
      </c>
      <c r="DR25" s="46"/>
      <c r="DS25" s="46"/>
      <c r="DT25" s="41" t="s">
        <v>70</v>
      </c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7"/>
      <c r="EL25" s="8"/>
    </row>
    <row r="26" spans="2:142" ht="14.25" customHeight="1" thickBot="1">
      <c r="B26" s="28">
        <f t="shared" si="2"/>
        <v>24</v>
      </c>
      <c r="C26" s="29" t="s">
        <v>76</v>
      </c>
      <c r="D26" s="29"/>
      <c r="E26" s="30"/>
      <c r="F26" s="31">
        <v>16</v>
      </c>
      <c r="G26" s="32">
        <v>45843</v>
      </c>
      <c r="H26" s="32">
        <v>43243</v>
      </c>
      <c r="I26" s="33"/>
      <c r="J26" s="33"/>
      <c r="K26" s="28"/>
      <c r="L26" s="34"/>
      <c r="M26" s="34"/>
      <c r="N26" s="35">
        <v>0.70375001430511475</v>
      </c>
      <c r="O26" s="29"/>
      <c r="P26" s="33"/>
      <c r="Q26" s="36"/>
      <c r="R26" s="37"/>
      <c r="S26" s="37"/>
      <c r="T26" s="28"/>
      <c r="U26" s="37"/>
      <c r="V26" s="37"/>
      <c r="W26" s="37"/>
      <c r="X26" s="28" t="s">
        <v>25</v>
      </c>
      <c r="Y26" s="28">
        <v>0</v>
      </c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2" t="s">
        <v>62</v>
      </c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4"/>
      <c r="EH26" s="41"/>
      <c r="EI26" s="41"/>
      <c r="EJ26" s="41"/>
      <c r="EK26" s="7"/>
      <c r="EL26" s="8"/>
    </row>
    <row r="27" spans="2:142" ht="14.25" customHeight="1">
      <c r="B27" s="28">
        <f t="shared" si="2"/>
        <v>25</v>
      </c>
      <c r="C27" s="29" t="s">
        <v>77</v>
      </c>
      <c r="D27" s="39"/>
      <c r="E27" s="30"/>
      <c r="F27" s="31">
        <v>10</v>
      </c>
      <c r="G27" s="32">
        <v>45843</v>
      </c>
      <c r="H27" s="32">
        <v>43243</v>
      </c>
      <c r="I27" s="33"/>
      <c r="J27" s="33"/>
      <c r="K27" s="28"/>
      <c r="L27" s="34"/>
      <c r="M27" s="34"/>
      <c r="N27" s="35">
        <v>0.7070000171661377</v>
      </c>
      <c r="O27" s="29"/>
      <c r="P27" s="33"/>
      <c r="Q27" s="36"/>
      <c r="R27" s="37"/>
      <c r="S27" s="37"/>
      <c r="T27" s="28"/>
      <c r="U27" s="37"/>
      <c r="V27" s="37"/>
      <c r="W27" s="37"/>
      <c r="X27" s="28" t="s">
        <v>25</v>
      </c>
      <c r="Y27" s="28">
        <v>1</v>
      </c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2" t="s">
        <v>64</v>
      </c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4"/>
      <c r="EH27" s="41"/>
      <c r="EI27" s="41"/>
      <c r="EJ27" s="41"/>
      <c r="EK27" s="7"/>
      <c r="EL27" s="8"/>
    </row>
    <row r="28" spans="2:142" s="5" customFormat="1" ht="14.25" customHeight="1">
      <c r="B28" s="18">
        <f t="shared" si="2"/>
        <v>26</v>
      </c>
      <c r="C28" s="19" t="s">
        <v>78</v>
      </c>
      <c r="D28" s="19" t="s">
        <v>44</v>
      </c>
      <c r="E28" s="25">
        <v>1</v>
      </c>
      <c r="F28" s="21">
        <v>5</v>
      </c>
      <c r="G28" s="22">
        <v>45843</v>
      </c>
      <c r="H28" s="22" t="e">
        <f t="shared" ca="1" si="3"/>
        <v>#NAME?</v>
      </c>
      <c r="I28" s="23"/>
      <c r="J28" s="23"/>
      <c r="K28" s="18" t="s">
        <v>53</v>
      </c>
      <c r="L28" s="24">
        <v>56</v>
      </c>
      <c r="M28" s="24">
        <v>56</v>
      </c>
      <c r="N28" s="25">
        <v>0.6</v>
      </c>
      <c r="O28" s="19" t="s">
        <v>75</v>
      </c>
      <c r="P28" s="23"/>
      <c r="Q28" s="26"/>
      <c r="R28" s="27"/>
      <c r="S28" s="27"/>
      <c r="T28" s="18"/>
      <c r="U28" s="27"/>
      <c r="V28" s="27"/>
      <c r="W28" s="27"/>
      <c r="X28" s="18" t="s">
        <v>32</v>
      </c>
      <c r="Y28" s="18">
        <v>2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5">
        <v>0.6</v>
      </c>
      <c r="DU28" s="46"/>
      <c r="DV28" s="46"/>
      <c r="DW28" s="46"/>
      <c r="DX28" s="46"/>
      <c r="DY28" s="46"/>
      <c r="DZ28" s="46"/>
      <c r="EA28" s="41" t="s">
        <v>66</v>
      </c>
      <c r="EB28" s="41"/>
      <c r="EC28" s="41"/>
      <c r="ED28" s="41"/>
      <c r="EE28" s="41"/>
      <c r="EF28" s="41"/>
      <c r="EG28" s="41"/>
      <c r="EH28" s="41"/>
      <c r="EI28" s="41"/>
      <c r="EJ28" s="41"/>
      <c r="EK28" s="7"/>
      <c r="EL28" s="8"/>
    </row>
    <row r="29" spans="2:142" s="5" customFormat="1" ht="14.25" customHeight="1">
      <c r="B29" s="18">
        <f t="shared" si="2"/>
        <v>27</v>
      </c>
      <c r="C29" s="19" t="s">
        <v>79</v>
      </c>
      <c r="D29" s="19" t="s">
        <v>44</v>
      </c>
      <c r="E29" s="25">
        <v>1</v>
      </c>
      <c r="F29" s="21">
        <v>2</v>
      </c>
      <c r="G29" s="22" t="e">
        <f t="shared" ca="1" si="4"/>
        <v>#NAME?</v>
      </c>
      <c r="H29" s="22" t="e">
        <f t="shared" ca="1" si="3"/>
        <v>#NAME?</v>
      </c>
      <c r="I29" s="23"/>
      <c r="J29" s="23"/>
      <c r="K29" s="18" t="s">
        <v>53</v>
      </c>
      <c r="L29" s="24">
        <v>50</v>
      </c>
      <c r="M29" s="24">
        <v>50</v>
      </c>
      <c r="N29" s="25">
        <v>0.88</v>
      </c>
      <c r="O29" s="19" t="s">
        <v>78</v>
      </c>
      <c r="P29" s="23"/>
      <c r="Q29" s="26"/>
      <c r="R29" s="27"/>
      <c r="S29" s="27"/>
      <c r="T29" s="18"/>
      <c r="U29" s="27"/>
      <c r="V29" s="27"/>
      <c r="W29" s="27"/>
      <c r="X29" s="18" t="s">
        <v>32</v>
      </c>
      <c r="Y29" s="18">
        <v>2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5">
        <v>0.88</v>
      </c>
      <c r="EB29" s="46"/>
      <c r="EC29" s="41" t="s">
        <v>68</v>
      </c>
      <c r="ED29" s="41"/>
      <c r="EE29" s="41"/>
      <c r="EF29" s="41"/>
      <c r="EG29" s="41"/>
      <c r="EH29" s="41"/>
      <c r="EI29" s="41"/>
      <c r="EJ29" s="41"/>
      <c r="EK29" s="7"/>
      <c r="EL29" s="8"/>
    </row>
    <row r="30" spans="2:142" s="5" customFormat="1" ht="14.25" customHeight="1" thickBot="1">
      <c r="B30" s="18">
        <f t="shared" si="2"/>
        <v>28</v>
      </c>
      <c r="C30" s="19" t="s">
        <v>80</v>
      </c>
      <c r="D30" s="19" t="s">
        <v>44</v>
      </c>
      <c r="E30" s="25">
        <v>1</v>
      </c>
      <c r="F30" s="21">
        <v>3</v>
      </c>
      <c r="G30" s="22" t="e">
        <f t="shared" ca="1" si="4"/>
        <v>#NAME?</v>
      </c>
      <c r="H30" s="22" t="e">
        <f t="shared" ca="1" si="3"/>
        <v>#NAME?</v>
      </c>
      <c r="I30" s="23"/>
      <c r="J30" s="23"/>
      <c r="K30" s="18" t="s">
        <v>53</v>
      </c>
      <c r="L30" s="24">
        <v>40</v>
      </c>
      <c r="M30" s="24">
        <v>40</v>
      </c>
      <c r="N30" s="25">
        <v>0.77</v>
      </c>
      <c r="O30" s="19" t="s">
        <v>79</v>
      </c>
      <c r="P30" s="23"/>
      <c r="Q30" s="26"/>
      <c r="R30" s="27"/>
      <c r="S30" s="27"/>
      <c r="T30" s="18"/>
      <c r="U30" s="27"/>
      <c r="V30" s="27"/>
      <c r="W30" s="27"/>
      <c r="X30" s="18" t="s">
        <v>32</v>
      </c>
      <c r="Y30" s="18">
        <v>2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5">
        <v>0.77</v>
      </c>
      <c r="EF30" s="46"/>
      <c r="EG30" s="46"/>
      <c r="EH30" s="41" t="s">
        <v>70</v>
      </c>
      <c r="EI30" s="41"/>
      <c r="EJ30" s="41"/>
      <c r="EK30" s="7"/>
      <c r="EL30" s="8"/>
    </row>
    <row r="31" spans="2:142" ht="14.25" customHeight="1">
      <c r="B31" s="28">
        <f t="shared" si="2"/>
        <v>29</v>
      </c>
      <c r="C31" s="29" t="s">
        <v>81</v>
      </c>
      <c r="D31" s="39"/>
      <c r="E31" s="30"/>
      <c r="F31" s="31">
        <v>6</v>
      </c>
      <c r="G31" s="32">
        <v>45843</v>
      </c>
      <c r="H31" s="32">
        <v>43229</v>
      </c>
      <c r="I31" s="33"/>
      <c r="J31" s="33"/>
      <c r="K31" s="28"/>
      <c r="L31" s="34"/>
      <c r="M31" s="34"/>
      <c r="N31" s="35">
        <v>0.69833334287007653</v>
      </c>
      <c r="O31" s="29"/>
      <c r="P31" s="33"/>
      <c r="Q31" s="36"/>
      <c r="R31" s="37"/>
      <c r="S31" s="37"/>
      <c r="T31" s="28"/>
      <c r="U31" s="37"/>
      <c r="V31" s="37"/>
      <c r="W31" s="37"/>
      <c r="X31" s="28" t="s">
        <v>25</v>
      </c>
      <c r="Y31" s="28">
        <v>1</v>
      </c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2" t="s">
        <v>72</v>
      </c>
      <c r="DM31" s="43"/>
      <c r="DN31" s="43"/>
      <c r="DO31" s="43"/>
      <c r="DP31" s="43"/>
      <c r="DQ31" s="43"/>
      <c r="DR31" s="43"/>
      <c r="DS31" s="44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7"/>
      <c r="EL31" s="8"/>
    </row>
    <row r="32" spans="2:142" s="5" customFormat="1">
      <c r="B32" s="18">
        <f t="shared" si="2"/>
        <v>30</v>
      </c>
      <c r="C32" s="19" t="s">
        <v>82</v>
      </c>
      <c r="D32" s="19" t="s">
        <v>44</v>
      </c>
      <c r="E32" s="20">
        <v>1</v>
      </c>
      <c r="F32" s="21">
        <v>1</v>
      </c>
      <c r="G32" s="22">
        <v>45843</v>
      </c>
      <c r="H32" s="22" t="e">
        <f t="shared" ca="1" si="3"/>
        <v>#NAME?</v>
      </c>
      <c r="I32" s="23"/>
      <c r="J32" s="23"/>
      <c r="K32" s="18" t="s">
        <v>53</v>
      </c>
      <c r="L32" s="24">
        <v>56</v>
      </c>
      <c r="M32" s="24">
        <v>56</v>
      </c>
      <c r="N32" s="25">
        <v>0.56000000000000005</v>
      </c>
      <c r="O32" s="19" t="s">
        <v>69</v>
      </c>
      <c r="P32" s="23"/>
      <c r="Q32" s="26"/>
      <c r="R32" s="27"/>
      <c r="S32" s="27"/>
      <c r="T32" s="18"/>
      <c r="U32" s="27"/>
      <c r="V32" s="27"/>
      <c r="W32" s="27"/>
      <c r="X32" s="18" t="s">
        <v>32</v>
      </c>
      <c r="Y32" s="18">
        <v>2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5">
        <v>0.56000000000000005</v>
      </c>
      <c r="DM32" s="41" t="s">
        <v>66</v>
      </c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7"/>
      <c r="EL32" s="8"/>
    </row>
    <row r="33" spans="2:142" s="5" customFormat="1">
      <c r="B33" s="18">
        <f t="shared" si="2"/>
        <v>31</v>
      </c>
      <c r="C33" s="19" t="s">
        <v>83</v>
      </c>
      <c r="D33" s="19" t="s">
        <v>44</v>
      </c>
      <c r="E33" s="20">
        <v>0.5</v>
      </c>
      <c r="F33" s="21">
        <v>2</v>
      </c>
      <c r="G33" s="22" t="e">
        <f t="shared" ca="1" si="4"/>
        <v>#NAME?</v>
      </c>
      <c r="H33" s="22" t="e">
        <f t="shared" ca="1" si="3"/>
        <v>#NAME?</v>
      </c>
      <c r="I33" s="23"/>
      <c r="J33" s="23"/>
      <c r="K33" s="18" t="s">
        <v>53</v>
      </c>
      <c r="L33" s="24">
        <v>50</v>
      </c>
      <c r="M33" s="24">
        <v>50</v>
      </c>
      <c r="N33" s="25">
        <v>0.78</v>
      </c>
      <c r="O33" s="19" t="s">
        <v>73</v>
      </c>
      <c r="P33" s="23"/>
      <c r="Q33" s="26"/>
      <c r="R33" s="27"/>
      <c r="S33" s="27"/>
      <c r="T33" s="18"/>
      <c r="U33" s="27"/>
      <c r="V33" s="27"/>
      <c r="W33" s="27"/>
      <c r="X33" s="18" t="s">
        <v>32</v>
      </c>
      <c r="Y33" s="18">
        <v>2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5">
        <v>0.78</v>
      </c>
      <c r="DN33" s="46"/>
      <c r="DO33" s="41" t="s">
        <v>68</v>
      </c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7"/>
      <c r="EL33" s="8"/>
    </row>
    <row r="34" spans="2:142" s="5" customFormat="1" ht="14.7" thickBot="1">
      <c r="B34" s="18">
        <f t="shared" si="2"/>
        <v>32</v>
      </c>
      <c r="C34" s="19" t="s">
        <v>84</v>
      </c>
      <c r="D34" s="19" t="s">
        <v>44</v>
      </c>
      <c r="E34" s="20">
        <v>1</v>
      </c>
      <c r="F34" s="21">
        <v>3</v>
      </c>
      <c r="G34" s="22">
        <v>45843</v>
      </c>
      <c r="H34" s="22" t="e">
        <f t="shared" ca="1" si="3"/>
        <v>#NAME?</v>
      </c>
      <c r="I34" s="23"/>
      <c r="J34" s="23"/>
      <c r="K34" s="18" t="s">
        <v>53</v>
      </c>
      <c r="L34" s="24">
        <v>40</v>
      </c>
      <c r="M34" s="24">
        <v>40</v>
      </c>
      <c r="N34" s="25">
        <v>0.69</v>
      </c>
      <c r="O34" s="19" t="s">
        <v>74</v>
      </c>
      <c r="P34" s="23"/>
      <c r="Q34" s="26"/>
      <c r="R34" s="27"/>
      <c r="S34" s="27"/>
      <c r="T34" s="18"/>
      <c r="U34" s="27"/>
      <c r="V34" s="27"/>
      <c r="W34" s="27"/>
      <c r="X34" s="18" t="s">
        <v>32</v>
      </c>
      <c r="Y34" s="18">
        <v>2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5">
        <v>0.69</v>
      </c>
      <c r="DR34" s="46"/>
      <c r="DS34" s="46"/>
      <c r="DT34" s="41" t="s">
        <v>70</v>
      </c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7"/>
      <c r="EL34" s="8"/>
    </row>
    <row r="35" spans="2:142" ht="14.25" customHeight="1" thickBot="1">
      <c r="B35" s="28">
        <f t="shared" si="2"/>
        <v>33</v>
      </c>
      <c r="C35" s="29" t="s">
        <v>85</v>
      </c>
      <c r="D35" s="29"/>
      <c r="E35" s="35"/>
      <c r="F35" s="31">
        <v>16</v>
      </c>
      <c r="G35" s="32">
        <v>45843</v>
      </c>
      <c r="H35" s="32">
        <v>43229</v>
      </c>
      <c r="I35" s="33"/>
      <c r="J35" s="33"/>
      <c r="K35" s="28"/>
      <c r="L35" s="34"/>
      <c r="M35" s="34"/>
      <c r="N35" s="35">
        <v>0.38124999403953552</v>
      </c>
      <c r="O35" s="29"/>
      <c r="P35" s="33"/>
      <c r="Q35" s="36"/>
      <c r="R35" s="37"/>
      <c r="S35" s="37"/>
      <c r="T35" s="28"/>
      <c r="U35" s="37"/>
      <c r="V35" s="37"/>
      <c r="W35" s="37"/>
      <c r="X35" s="28" t="s">
        <v>25</v>
      </c>
      <c r="Y35" s="28">
        <v>0</v>
      </c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2" t="s">
        <v>86</v>
      </c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4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7"/>
      <c r="EL35" s="8"/>
    </row>
    <row r="36" spans="2:142" ht="14.25" customHeight="1">
      <c r="B36" s="28">
        <f t="shared" si="2"/>
        <v>34</v>
      </c>
      <c r="C36" s="29" t="s">
        <v>87</v>
      </c>
      <c r="D36" s="39"/>
      <c r="E36" s="35"/>
      <c r="F36" s="31">
        <v>10</v>
      </c>
      <c r="G36" s="32">
        <v>45843</v>
      </c>
      <c r="H36" s="32">
        <v>43221</v>
      </c>
      <c r="I36" s="33"/>
      <c r="J36" s="33"/>
      <c r="K36" s="28"/>
      <c r="L36" s="34"/>
      <c r="M36" s="34"/>
      <c r="N36" s="35">
        <v>0.60999999046325681</v>
      </c>
      <c r="O36" s="29"/>
      <c r="P36" s="33"/>
      <c r="Q36" s="36"/>
      <c r="R36" s="37"/>
      <c r="S36" s="37"/>
      <c r="T36" s="28"/>
      <c r="U36" s="37"/>
      <c r="V36" s="37"/>
      <c r="W36" s="37"/>
      <c r="X36" s="28" t="s">
        <v>25</v>
      </c>
      <c r="Y36" s="28">
        <v>1</v>
      </c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2" t="s">
        <v>88</v>
      </c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4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7"/>
      <c r="EL36" s="8"/>
    </row>
    <row r="37" spans="2:142" s="5" customFormat="1" ht="14.25" customHeight="1">
      <c r="B37" s="18">
        <f t="shared" si="2"/>
        <v>35</v>
      </c>
      <c r="C37" s="19" t="s">
        <v>89</v>
      </c>
      <c r="D37" s="19" t="s">
        <v>44</v>
      </c>
      <c r="E37" s="25">
        <v>1</v>
      </c>
      <c r="F37" s="21">
        <v>5</v>
      </c>
      <c r="G37" s="22">
        <v>45843</v>
      </c>
      <c r="H37" s="22" t="e">
        <f t="shared" ca="1" si="3"/>
        <v>#NAME?</v>
      </c>
      <c r="I37" s="23"/>
      <c r="J37" s="23"/>
      <c r="K37" s="18" t="s">
        <v>53</v>
      </c>
      <c r="L37" s="24">
        <v>56</v>
      </c>
      <c r="M37" s="24">
        <v>56</v>
      </c>
      <c r="N37" s="25">
        <v>0.6</v>
      </c>
      <c r="O37" s="19" t="s">
        <v>59</v>
      </c>
      <c r="P37" s="23"/>
      <c r="Q37" s="26"/>
      <c r="R37" s="27"/>
      <c r="S37" s="27"/>
      <c r="T37" s="18"/>
      <c r="U37" s="27"/>
      <c r="V37" s="27"/>
      <c r="W37" s="27"/>
      <c r="X37" s="18" t="s">
        <v>32</v>
      </c>
      <c r="Y37" s="18">
        <v>2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5">
        <v>0.6</v>
      </c>
      <c r="CY37" s="46"/>
      <c r="CZ37" s="46"/>
      <c r="DA37" s="46"/>
      <c r="DB37" s="46"/>
      <c r="DC37" s="46"/>
      <c r="DD37" s="46"/>
      <c r="DE37" s="41" t="s">
        <v>66</v>
      </c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7"/>
      <c r="EL37" s="8"/>
    </row>
    <row r="38" spans="2:142" s="5" customFormat="1" ht="14.25" customHeight="1">
      <c r="B38" s="18">
        <f t="shared" si="2"/>
        <v>36</v>
      </c>
      <c r="C38" s="19" t="s">
        <v>90</v>
      </c>
      <c r="D38" s="19" t="s">
        <v>44</v>
      </c>
      <c r="E38" s="25">
        <v>1</v>
      </c>
      <c r="F38" s="21">
        <v>2</v>
      </c>
      <c r="G38" s="22" t="e">
        <f t="shared" ca="1" si="4"/>
        <v>#NAME?</v>
      </c>
      <c r="H38" s="22" t="e">
        <f t="shared" ca="1" si="3"/>
        <v>#NAME?</v>
      </c>
      <c r="I38" s="23"/>
      <c r="J38" s="23"/>
      <c r="K38" s="18" t="s">
        <v>53</v>
      </c>
      <c r="L38" s="24">
        <v>50</v>
      </c>
      <c r="M38" s="24">
        <v>50</v>
      </c>
      <c r="N38" s="25">
        <v>0.8</v>
      </c>
      <c r="O38" s="19" t="s">
        <v>65</v>
      </c>
      <c r="P38" s="23"/>
      <c r="Q38" s="26"/>
      <c r="R38" s="27"/>
      <c r="S38" s="27"/>
      <c r="T38" s="18"/>
      <c r="U38" s="27"/>
      <c r="V38" s="27"/>
      <c r="W38" s="27"/>
      <c r="X38" s="18" t="s">
        <v>32</v>
      </c>
      <c r="Y38" s="18">
        <v>2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5">
        <v>0.8</v>
      </c>
      <c r="DF38" s="46"/>
      <c r="DG38" s="41" t="s">
        <v>68</v>
      </c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7"/>
      <c r="EL38" s="8"/>
    </row>
    <row r="39" spans="2:142" s="5" customFormat="1" ht="14.25" customHeight="1" thickBot="1">
      <c r="B39" s="18">
        <f t="shared" si="2"/>
        <v>37</v>
      </c>
      <c r="C39" s="19" t="s">
        <v>91</v>
      </c>
      <c r="D39" s="19" t="s">
        <v>44</v>
      </c>
      <c r="E39" s="25">
        <v>1</v>
      </c>
      <c r="F39" s="21">
        <v>3</v>
      </c>
      <c r="G39" s="22" t="e">
        <f t="shared" ca="1" si="4"/>
        <v>#NAME?</v>
      </c>
      <c r="H39" s="22" t="e">
        <f t="shared" ca="1" si="3"/>
        <v>#NAME?</v>
      </c>
      <c r="I39" s="23"/>
      <c r="J39" s="23"/>
      <c r="K39" s="18" t="s">
        <v>53</v>
      </c>
      <c r="L39" s="24">
        <v>40</v>
      </c>
      <c r="M39" s="24">
        <v>40</v>
      </c>
      <c r="N39" s="25">
        <v>0.5</v>
      </c>
      <c r="O39" s="19" t="s">
        <v>67</v>
      </c>
      <c r="P39" s="23"/>
      <c r="Q39" s="26"/>
      <c r="R39" s="27"/>
      <c r="S39" s="27"/>
      <c r="T39" s="18"/>
      <c r="U39" s="27"/>
      <c r="V39" s="27"/>
      <c r="W39" s="27"/>
      <c r="X39" s="18" t="s">
        <v>32</v>
      </c>
      <c r="Y39" s="18">
        <v>2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5">
        <v>0.5</v>
      </c>
      <c r="DH39" s="46"/>
      <c r="DI39" s="46"/>
      <c r="DJ39" s="46"/>
      <c r="DK39" s="46"/>
      <c r="DL39" s="41" t="s">
        <v>70</v>
      </c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7"/>
      <c r="EL39" s="8"/>
    </row>
    <row r="40" spans="2:142" ht="14.25" customHeight="1">
      <c r="B40" s="28">
        <f t="shared" si="2"/>
        <v>38</v>
      </c>
      <c r="C40" s="29" t="s">
        <v>92</v>
      </c>
      <c r="D40" s="39"/>
      <c r="E40" s="35"/>
      <c r="F40" s="31">
        <v>6</v>
      </c>
      <c r="G40" s="32">
        <v>45843</v>
      </c>
      <c r="H40" s="32">
        <v>43229</v>
      </c>
      <c r="I40" s="33"/>
      <c r="J40" s="33"/>
      <c r="K40" s="28"/>
      <c r="L40" s="34"/>
      <c r="M40" s="34"/>
      <c r="N40" s="35">
        <v>0</v>
      </c>
      <c r="O40" s="29"/>
      <c r="P40" s="33"/>
      <c r="Q40" s="36"/>
      <c r="R40" s="37"/>
      <c r="S40" s="37"/>
      <c r="T40" s="28"/>
      <c r="U40" s="37"/>
      <c r="V40" s="37"/>
      <c r="W40" s="37"/>
      <c r="X40" s="28" t="s">
        <v>25</v>
      </c>
      <c r="Y40" s="28">
        <v>1</v>
      </c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2" t="s">
        <v>93</v>
      </c>
      <c r="DM40" s="43"/>
      <c r="DN40" s="43"/>
      <c r="DO40" s="43"/>
      <c r="DP40" s="43"/>
      <c r="DQ40" s="43"/>
      <c r="DR40" s="43"/>
      <c r="DS40" s="44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7"/>
      <c r="EL40" s="8"/>
    </row>
    <row r="41" spans="2:142" s="5" customFormat="1" ht="14.25" customHeight="1">
      <c r="B41" s="18">
        <f t="shared" si="2"/>
        <v>39</v>
      </c>
      <c r="C41" s="19" t="s">
        <v>94</v>
      </c>
      <c r="D41" s="19" t="s">
        <v>30</v>
      </c>
      <c r="E41" s="25">
        <v>1</v>
      </c>
      <c r="F41" s="21">
        <v>1</v>
      </c>
      <c r="G41" s="22" t="e">
        <f t="shared" ca="1" si="4"/>
        <v>#NAME?</v>
      </c>
      <c r="H41" s="22" t="e">
        <f t="shared" ca="1" si="3"/>
        <v>#NAME?</v>
      </c>
      <c r="I41" s="23"/>
      <c r="J41" s="23"/>
      <c r="K41" s="18" t="s">
        <v>53</v>
      </c>
      <c r="L41" s="24">
        <v>56</v>
      </c>
      <c r="M41" s="24">
        <v>56</v>
      </c>
      <c r="N41" s="25">
        <v>0</v>
      </c>
      <c r="O41" s="19" t="s">
        <v>69</v>
      </c>
      <c r="P41" s="23"/>
      <c r="Q41" s="26"/>
      <c r="R41" s="27"/>
      <c r="S41" s="27"/>
      <c r="T41" s="18"/>
      <c r="U41" s="27"/>
      <c r="V41" s="27"/>
      <c r="W41" s="27"/>
      <c r="X41" s="18" t="s">
        <v>32</v>
      </c>
      <c r="Y41" s="18">
        <v>2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5">
        <v>0</v>
      </c>
      <c r="DM41" s="41" t="s">
        <v>66</v>
      </c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7"/>
      <c r="EL41" s="8"/>
    </row>
    <row r="42" spans="2:142" s="5" customFormat="1" ht="14.25" customHeight="1">
      <c r="B42" s="18">
        <f t="shared" si="2"/>
        <v>40</v>
      </c>
      <c r="C42" s="19" t="s">
        <v>95</v>
      </c>
      <c r="D42" s="19" t="s">
        <v>30</v>
      </c>
      <c r="E42" s="25">
        <v>1</v>
      </c>
      <c r="F42" s="21">
        <v>2</v>
      </c>
      <c r="G42" s="22" t="e">
        <f t="shared" ca="1" si="4"/>
        <v>#NAME?</v>
      </c>
      <c r="H42" s="22" t="e">
        <f t="shared" ca="1" si="3"/>
        <v>#NAME?</v>
      </c>
      <c r="I42" s="23"/>
      <c r="J42" s="23"/>
      <c r="K42" s="18" t="s">
        <v>53</v>
      </c>
      <c r="L42" s="24">
        <v>50</v>
      </c>
      <c r="M42" s="24">
        <v>50</v>
      </c>
      <c r="N42" s="25">
        <v>0</v>
      </c>
      <c r="O42" s="19" t="s">
        <v>73</v>
      </c>
      <c r="P42" s="23"/>
      <c r="Q42" s="26"/>
      <c r="R42" s="27"/>
      <c r="S42" s="27"/>
      <c r="T42" s="18"/>
      <c r="U42" s="27"/>
      <c r="V42" s="27"/>
      <c r="W42" s="27"/>
      <c r="X42" s="18" t="s">
        <v>32</v>
      </c>
      <c r="Y42" s="18">
        <v>2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5">
        <v>0</v>
      </c>
      <c r="DN42" s="46"/>
      <c r="DO42" s="41" t="s">
        <v>68</v>
      </c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7"/>
      <c r="EL42" s="8"/>
    </row>
    <row r="43" spans="2:142" s="5" customFormat="1" ht="14.25" customHeight="1" thickBot="1">
      <c r="B43" s="18">
        <f t="shared" si="2"/>
        <v>41</v>
      </c>
      <c r="C43" s="19" t="s">
        <v>96</v>
      </c>
      <c r="D43" s="19" t="s">
        <v>30</v>
      </c>
      <c r="E43" s="25">
        <v>1</v>
      </c>
      <c r="F43" s="21">
        <v>3</v>
      </c>
      <c r="G43" s="22" t="e">
        <f t="shared" ca="1" si="4"/>
        <v>#NAME?</v>
      </c>
      <c r="H43" s="22" t="e">
        <f t="shared" ca="1" si="3"/>
        <v>#NAME?</v>
      </c>
      <c r="I43" s="23"/>
      <c r="J43" s="23"/>
      <c r="K43" s="18" t="s">
        <v>53</v>
      </c>
      <c r="L43" s="24">
        <v>40</v>
      </c>
      <c r="M43" s="24">
        <v>40</v>
      </c>
      <c r="N43" s="25">
        <v>0</v>
      </c>
      <c r="O43" s="19" t="s">
        <v>74</v>
      </c>
      <c r="P43" s="23"/>
      <c r="Q43" s="26"/>
      <c r="R43" s="27"/>
      <c r="S43" s="27"/>
      <c r="T43" s="18"/>
      <c r="U43" s="27"/>
      <c r="V43" s="27"/>
      <c r="W43" s="27"/>
      <c r="X43" s="18" t="s">
        <v>32</v>
      </c>
      <c r="Y43" s="18">
        <v>2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5">
        <v>0</v>
      </c>
      <c r="DR43" s="46"/>
      <c r="DS43" s="46"/>
      <c r="DT43" s="41" t="s">
        <v>70</v>
      </c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7"/>
      <c r="EL43" s="8"/>
    </row>
    <row r="44" spans="2:142" ht="14.25" customHeight="1" thickBot="1">
      <c r="B44" s="28">
        <f t="shared" si="2"/>
        <v>42</v>
      </c>
      <c r="C44" s="29" t="s">
        <v>97</v>
      </c>
      <c r="D44" s="29"/>
      <c r="E44" s="30"/>
      <c r="F44" s="31">
        <v>16</v>
      </c>
      <c r="G44" s="32">
        <v>45843</v>
      </c>
      <c r="H44" s="32">
        <v>45843</v>
      </c>
      <c r="I44" s="33"/>
      <c r="J44" s="33"/>
      <c r="K44" s="28"/>
      <c r="L44" s="34"/>
      <c r="M44" s="34"/>
      <c r="N44" s="35">
        <v>0</v>
      </c>
      <c r="O44" s="29"/>
      <c r="P44" s="33"/>
      <c r="Q44" s="36"/>
      <c r="R44" s="37"/>
      <c r="S44" s="37"/>
      <c r="T44" s="28"/>
      <c r="U44" s="37"/>
      <c r="V44" s="37"/>
      <c r="W44" s="37"/>
      <c r="X44" s="28" t="s">
        <v>25</v>
      </c>
      <c r="Y44" s="28">
        <v>0</v>
      </c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2" t="s">
        <v>98</v>
      </c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4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7"/>
      <c r="EL44" s="8"/>
    </row>
    <row r="45" spans="2:142" ht="14.25" customHeight="1">
      <c r="B45" s="28">
        <f t="shared" si="2"/>
        <v>43</v>
      </c>
      <c r="C45" s="29" t="s">
        <v>99</v>
      </c>
      <c r="D45" s="39"/>
      <c r="E45" s="30"/>
      <c r="F45" s="31">
        <v>10</v>
      </c>
      <c r="G45" s="32">
        <v>45843</v>
      </c>
      <c r="H45" s="32">
        <v>45843</v>
      </c>
      <c r="I45" s="33"/>
      <c r="J45" s="33"/>
      <c r="K45" s="28"/>
      <c r="L45" s="34"/>
      <c r="M45" s="34"/>
      <c r="N45" s="35">
        <v>0</v>
      </c>
      <c r="O45" s="29"/>
      <c r="P45" s="33"/>
      <c r="Q45" s="36"/>
      <c r="R45" s="37"/>
      <c r="S45" s="37"/>
      <c r="T45" s="28"/>
      <c r="U45" s="37"/>
      <c r="V45" s="37"/>
      <c r="W45" s="37"/>
      <c r="X45" s="28" t="s">
        <v>25</v>
      </c>
      <c r="Y45" s="28">
        <v>1</v>
      </c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2" t="s">
        <v>100</v>
      </c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4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7"/>
      <c r="EL45" s="8"/>
    </row>
    <row r="46" spans="2:142" s="5" customFormat="1" ht="14.25" customHeight="1">
      <c r="B46" s="18">
        <f t="shared" si="2"/>
        <v>44</v>
      </c>
      <c r="C46" s="19" t="s">
        <v>101</v>
      </c>
      <c r="D46" s="19" t="s">
        <v>30</v>
      </c>
      <c r="E46" s="25">
        <v>1</v>
      </c>
      <c r="F46" s="21">
        <v>5</v>
      </c>
      <c r="G46" s="22" t="e">
        <f t="shared" ca="1" si="4"/>
        <v>#NAME?</v>
      </c>
      <c r="H46" s="22" t="e">
        <f t="shared" ca="1" si="3"/>
        <v>#NAME?</v>
      </c>
      <c r="I46" s="23"/>
      <c r="J46" s="23"/>
      <c r="K46" s="18" t="s">
        <v>53</v>
      </c>
      <c r="L46" s="24">
        <v>56</v>
      </c>
      <c r="M46" s="24">
        <v>56</v>
      </c>
      <c r="N46" s="25">
        <v>0</v>
      </c>
      <c r="O46" s="19" t="s">
        <v>59</v>
      </c>
      <c r="P46" s="23"/>
      <c r="Q46" s="26"/>
      <c r="R46" s="27"/>
      <c r="S46" s="27"/>
      <c r="T46" s="18"/>
      <c r="U46" s="27"/>
      <c r="V46" s="27"/>
      <c r="W46" s="27"/>
      <c r="X46" s="18" t="s">
        <v>32</v>
      </c>
      <c r="Y46" s="18">
        <v>2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5">
        <v>0</v>
      </c>
      <c r="CY46" s="46"/>
      <c r="CZ46" s="46"/>
      <c r="DA46" s="46"/>
      <c r="DB46" s="46"/>
      <c r="DC46" s="46"/>
      <c r="DD46" s="46"/>
      <c r="DE46" s="41" t="s">
        <v>66</v>
      </c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7"/>
      <c r="EL46" s="8"/>
    </row>
    <row r="47" spans="2:142" s="5" customFormat="1" ht="14.25" customHeight="1">
      <c r="B47" s="18">
        <f t="shared" si="2"/>
        <v>45</v>
      </c>
      <c r="C47" s="19" t="s">
        <v>102</v>
      </c>
      <c r="D47" s="19" t="s">
        <v>30</v>
      </c>
      <c r="E47" s="25">
        <v>1</v>
      </c>
      <c r="F47" s="21">
        <v>2</v>
      </c>
      <c r="G47" s="22" t="e">
        <f t="shared" ca="1" si="4"/>
        <v>#NAME?</v>
      </c>
      <c r="H47" s="22" t="e">
        <f t="shared" ca="1" si="3"/>
        <v>#NAME?</v>
      </c>
      <c r="I47" s="23"/>
      <c r="J47" s="23"/>
      <c r="K47" s="18" t="s">
        <v>53</v>
      </c>
      <c r="L47" s="24">
        <v>50</v>
      </c>
      <c r="M47" s="24">
        <v>50</v>
      </c>
      <c r="N47" s="25">
        <v>0</v>
      </c>
      <c r="O47" s="19" t="s">
        <v>65</v>
      </c>
      <c r="P47" s="23"/>
      <c r="Q47" s="26"/>
      <c r="R47" s="27"/>
      <c r="S47" s="27"/>
      <c r="T47" s="18"/>
      <c r="U47" s="27"/>
      <c r="V47" s="27"/>
      <c r="W47" s="27"/>
      <c r="X47" s="18" t="s">
        <v>32</v>
      </c>
      <c r="Y47" s="18">
        <v>2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5">
        <v>0</v>
      </c>
      <c r="DF47" s="46"/>
      <c r="DG47" s="41" t="s">
        <v>68</v>
      </c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7"/>
      <c r="EL47" s="8"/>
    </row>
    <row r="48" spans="2:142" s="5" customFormat="1" ht="14.25" customHeight="1" thickBot="1">
      <c r="B48" s="18">
        <f t="shared" si="2"/>
        <v>46</v>
      </c>
      <c r="C48" s="19" t="s">
        <v>103</v>
      </c>
      <c r="D48" s="19" t="s">
        <v>30</v>
      </c>
      <c r="E48" s="25">
        <v>1</v>
      </c>
      <c r="F48" s="21">
        <v>3</v>
      </c>
      <c r="G48" s="22" t="e">
        <f t="shared" ca="1" si="4"/>
        <v>#NAME?</v>
      </c>
      <c r="H48" s="22" t="e">
        <f t="shared" ca="1" si="3"/>
        <v>#NAME?</v>
      </c>
      <c r="I48" s="23"/>
      <c r="J48" s="23"/>
      <c r="K48" s="18" t="s">
        <v>53</v>
      </c>
      <c r="L48" s="24">
        <v>40</v>
      </c>
      <c r="M48" s="24">
        <v>40</v>
      </c>
      <c r="N48" s="25">
        <v>0</v>
      </c>
      <c r="O48" s="19" t="s">
        <v>67</v>
      </c>
      <c r="P48" s="23"/>
      <c r="Q48" s="26"/>
      <c r="R48" s="27"/>
      <c r="S48" s="27"/>
      <c r="T48" s="18"/>
      <c r="U48" s="27"/>
      <c r="V48" s="27"/>
      <c r="W48" s="27"/>
      <c r="X48" s="18" t="s">
        <v>32</v>
      </c>
      <c r="Y48" s="18">
        <v>2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5">
        <v>0</v>
      </c>
      <c r="DH48" s="46"/>
      <c r="DI48" s="46"/>
      <c r="DJ48" s="46"/>
      <c r="DK48" s="46"/>
      <c r="DL48" s="41" t="s">
        <v>70</v>
      </c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7"/>
      <c r="EL48" s="8"/>
    </row>
    <row r="49" spans="2:142" ht="14.25" customHeight="1">
      <c r="B49" s="28">
        <f t="shared" si="2"/>
        <v>47</v>
      </c>
      <c r="C49" s="29" t="s">
        <v>104</v>
      </c>
      <c r="D49" s="39"/>
      <c r="E49" s="30"/>
      <c r="F49" s="31">
        <v>6</v>
      </c>
      <c r="G49" s="32">
        <v>45843</v>
      </c>
      <c r="H49" s="32">
        <v>43229</v>
      </c>
      <c r="I49" s="33"/>
      <c r="J49" s="33"/>
      <c r="K49" s="28"/>
      <c r="L49" s="34"/>
      <c r="M49" s="34"/>
      <c r="N49" s="35">
        <v>0</v>
      </c>
      <c r="O49" s="29"/>
      <c r="P49" s="33"/>
      <c r="Q49" s="36"/>
      <c r="R49" s="37"/>
      <c r="S49" s="37"/>
      <c r="T49" s="28"/>
      <c r="U49" s="37"/>
      <c r="V49" s="37"/>
      <c r="W49" s="37"/>
      <c r="X49" s="28" t="s">
        <v>25</v>
      </c>
      <c r="Y49" s="28">
        <v>1</v>
      </c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2" t="s">
        <v>93</v>
      </c>
      <c r="DM49" s="43"/>
      <c r="DN49" s="43"/>
      <c r="DO49" s="43"/>
      <c r="DP49" s="43"/>
      <c r="DQ49" s="43"/>
      <c r="DR49" s="43"/>
      <c r="DS49" s="44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7"/>
      <c r="EL49" s="8"/>
    </row>
    <row r="50" spans="2:142" s="5" customFormat="1">
      <c r="B50" s="18">
        <f t="shared" si="2"/>
        <v>48</v>
      </c>
      <c r="C50" s="19" t="s">
        <v>105</v>
      </c>
      <c r="D50" s="19" t="s">
        <v>30</v>
      </c>
      <c r="E50" s="20">
        <v>1</v>
      </c>
      <c r="F50" s="21">
        <v>1</v>
      </c>
      <c r="G50" s="22">
        <v>45843</v>
      </c>
      <c r="H50" s="22" t="e">
        <f t="shared" ca="1" si="3"/>
        <v>#NAME?</v>
      </c>
      <c r="I50" s="23"/>
      <c r="J50" s="23"/>
      <c r="K50" s="18" t="s">
        <v>53</v>
      </c>
      <c r="L50" s="24">
        <v>56</v>
      </c>
      <c r="M50" s="24">
        <v>56</v>
      </c>
      <c r="N50" s="25">
        <v>0</v>
      </c>
      <c r="O50" s="19" t="s">
        <v>69</v>
      </c>
      <c r="P50" s="23"/>
      <c r="Q50" s="26"/>
      <c r="R50" s="27"/>
      <c r="S50" s="27"/>
      <c r="T50" s="18"/>
      <c r="U50" s="27"/>
      <c r="V50" s="27"/>
      <c r="W50" s="27"/>
      <c r="X50" s="18" t="s">
        <v>32</v>
      </c>
      <c r="Y50" s="18">
        <v>2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5">
        <v>0</v>
      </c>
      <c r="DM50" s="41" t="s">
        <v>66</v>
      </c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7"/>
      <c r="EL50" s="8"/>
    </row>
    <row r="51" spans="2:142" s="5" customFormat="1">
      <c r="B51" s="18">
        <f t="shared" si="2"/>
        <v>49</v>
      </c>
      <c r="C51" s="19" t="s">
        <v>106</v>
      </c>
      <c r="D51" s="19" t="s">
        <v>30</v>
      </c>
      <c r="E51" s="20">
        <v>0.5</v>
      </c>
      <c r="F51" s="21">
        <v>2</v>
      </c>
      <c r="G51" s="22" t="e">
        <f t="shared" ca="1" si="4"/>
        <v>#NAME?</v>
      </c>
      <c r="H51" s="22" t="e">
        <f t="shared" ca="1" si="3"/>
        <v>#NAME?</v>
      </c>
      <c r="I51" s="23"/>
      <c r="J51" s="23"/>
      <c r="K51" s="18" t="s">
        <v>53</v>
      </c>
      <c r="L51" s="24">
        <v>50</v>
      </c>
      <c r="M51" s="24">
        <v>50</v>
      </c>
      <c r="N51" s="25">
        <v>0</v>
      </c>
      <c r="O51" s="19" t="s">
        <v>73</v>
      </c>
      <c r="P51" s="23"/>
      <c r="Q51" s="26"/>
      <c r="R51" s="27"/>
      <c r="S51" s="27"/>
      <c r="T51" s="18"/>
      <c r="U51" s="27"/>
      <c r="V51" s="27"/>
      <c r="W51" s="27"/>
      <c r="X51" s="18" t="s">
        <v>32</v>
      </c>
      <c r="Y51" s="18">
        <v>2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5">
        <v>0</v>
      </c>
      <c r="DN51" s="46"/>
      <c r="DO51" s="41" t="s">
        <v>68</v>
      </c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7"/>
      <c r="EL51" s="8"/>
    </row>
    <row r="52" spans="2:142" s="5" customFormat="1" ht="14.7" thickBot="1">
      <c r="B52" s="18">
        <f t="shared" si="2"/>
        <v>50</v>
      </c>
      <c r="C52" s="19" t="s">
        <v>107</v>
      </c>
      <c r="D52" s="19" t="s">
        <v>30</v>
      </c>
      <c r="E52" s="20">
        <v>1</v>
      </c>
      <c r="F52" s="21">
        <v>3</v>
      </c>
      <c r="G52" s="22" t="e">
        <f t="shared" ca="1" si="4"/>
        <v>#NAME?</v>
      </c>
      <c r="H52" s="22" t="e">
        <f t="shared" ca="1" si="3"/>
        <v>#NAME?</v>
      </c>
      <c r="I52" s="23"/>
      <c r="J52" s="23"/>
      <c r="K52" s="18" t="s">
        <v>53</v>
      </c>
      <c r="L52" s="24">
        <v>40</v>
      </c>
      <c r="M52" s="24">
        <v>40</v>
      </c>
      <c r="N52" s="25">
        <v>0</v>
      </c>
      <c r="O52" s="19" t="s">
        <v>74</v>
      </c>
      <c r="P52" s="23"/>
      <c r="Q52" s="26"/>
      <c r="R52" s="27"/>
      <c r="S52" s="27"/>
      <c r="T52" s="18"/>
      <c r="U52" s="27"/>
      <c r="V52" s="27"/>
      <c r="W52" s="27"/>
      <c r="X52" s="18" t="s">
        <v>32</v>
      </c>
      <c r="Y52" s="18">
        <v>2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5">
        <v>0</v>
      </c>
      <c r="DR52" s="46"/>
      <c r="DS52" s="46"/>
      <c r="DT52" s="41" t="s">
        <v>70</v>
      </c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7"/>
      <c r="EL52" s="8"/>
    </row>
    <row r="53" spans="2:142" ht="14.25" customHeight="1" thickBot="1">
      <c r="B53" s="28">
        <f t="shared" si="2"/>
        <v>51</v>
      </c>
      <c r="C53" s="29" t="s">
        <v>108</v>
      </c>
      <c r="D53" s="29"/>
      <c r="E53" s="35"/>
      <c r="F53" s="31">
        <v>16</v>
      </c>
      <c r="G53" s="32">
        <v>45843</v>
      </c>
      <c r="H53" s="32">
        <v>43229</v>
      </c>
      <c r="I53" s="33"/>
      <c r="J53" s="33"/>
      <c r="K53" s="28"/>
      <c r="L53" s="34"/>
      <c r="M53" s="34"/>
      <c r="N53" s="35">
        <v>0</v>
      </c>
      <c r="O53" s="29"/>
      <c r="P53" s="33"/>
      <c r="Q53" s="36"/>
      <c r="R53" s="37"/>
      <c r="S53" s="37"/>
      <c r="T53" s="28"/>
      <c r="U53" s="37"/>
      <c r="V53" s="37"/>
      <c r="W53" s="37"/>
      <c r="X53" s="28" t="s">
        <v>25</v>
      </c>
      <c r="Y53" s="28">
        <v>0</v>
      </c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2" t="s">
        <v>98</v>
      </c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4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7"/>
      <c r="EL53" s="8"/>
    </row>
    <row r="54" spans="2:142" ht="14.25" customHeight="1">
      <c r="B54" s="28">
        <f t="shared" si="2"/>
        <v>52</v>
      </c>
      <c r="C54" s="29" t="s">
        <v>109</v>
      </c>
      <c r="D54" s="39"/>
      <c r="E54" s="35"/>
      <c r="F54" s="31">
        <v>10</v>
      </c>
      <c r="G54" s="32">
        <v>45843</v>
      </c>
      <c r="H54" s="32">
        <v>43221</v>
      </c>
      <c r="I54" s="33"/>
      <c r="J54" s="33"/>
      <c r="K54" s="28"/>
      <c r="L54" s="34"/>
      <c r="M54" s="34"/>
      <c r="N54" s="35">
        <v>0</v>
      </c>
      <c r="O54" s="29"/>
      <c r="P54" s="33"/>
      <c r="Q54" s="36"/>
      <c r="R54" s="37"/>
      <c r="S54" s="37"/>
      <c r="T54" s="28"/>
      <c r="U54" s="37"/>
      <c r="V54" s="37"/>
      <c r="W54" s="37"/>
      <c r="X54" s="28" t="s">
        <v>25</v>
      </c>
      <c r="Y54" s="28">
        <v>1</v>
      </c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2" t="s">
        <v>100</v>
      </c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4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7"/>
      <c r="EL54" s="8"/>
    </row>
    <row r="55" spans="2:142" s="5" customFormat="1" ht="14.25" customHeight="1">
      <c r="B55" s="18">
        <f t="shared" si="2"/>
        <v>53</v>
      </c>
      <c r="C55" s="19" t="s">
        <v>110</v>
      </c>
      <c r="D55" s="19" t="s">
        <v>30</v>
      </c>
      <c r="E55" s="25">
        <v>1</v>
      </c>
      <c r="F55" s="21">
        <v>5</v>
      </c>
      <c r="G55" s="22" t="e">
        <f t="shared" ca="1" si="4"/>
        <v>#NAME?</v>
      </c>
      <c r="H55" s="22" t="e">
        <f t="shared" ca="1" si="3"/>
        <v>#NAME?</v>
      </c>
      <c r="I55" s="23"/>
      <c r="J55" s="23"/>
      <c r="K55" s="18" t="s">
        <v>53</v>
      </c>
      <c r="L55" s="24">
        <v>56</v>
      </c>
      <c r="M55" s="24">
        <v>56</v>
      </c>
      <c r="N55" s="25">
        <v>0</v>
      </c>
      <c r="O55" s="19" t="s">
        <v>59</v>
      </c>
      <c r="P55" s="23"/>
      <c r="Q55" s="26"/>
      <c r="R55" s="27"/>
      <c r="S55" s="27"/>
      <c r="T55" s="18"/>
      <c r="U55" s="27"/>
      <c r="V55" s="27"/>
      <c r="W55" s="27"/>
      <c r="X55" s="18" t="s">
        <v>32</v>
      </c>
      <c r="Y55" s="18">
        <v>2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5">
        <v>0</v>
      </c>
      <c r="CY55" s="46"/>
      <c r="CZ55" s="46"/>
      <c r="DA55" s="46"/>
      <c r="DB55" s="46"/>
      <c r="DC55" s="46"/>
      <c r="DD55" s="46"/>
      <c r="DE55" s="41" t="s">
        <v>66</v>
      </c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7"/>
      <c r="EL55" s="8"/>
    </row>
    <row r="56" spans="2:142" s="5" customFormat="1" ht="14.25" customHeight="1">
      <c r="B56" s="18">
        <f t="shared" si="2"/>
        <v>54</v>
      </c>
      <c r="C56" s="19" t="s">
        <v>111</v>
      </c>
      <c r="D56" s="19" t="s">
        <v>30</v>
      </c>
      <c r="E56" s="25">
        <v>1</v>
      </c>
      <c r="F56" s="21">
        <v>2</v>
      </c>
      <c r="G56" s="22" t="e">
        <f t="shared" ca="1" si="4"/>
        <v>#NAME?</v>
      </c>
      <c r="H56" s="22" t="e">
        <f t="shared" ca="1" si="3"/>
        <v>#NAME?</v>
      </c>
      <c r="I56" s="23"/>
      <c r="J56" s="23"/>
      <c r="K56" s="18" t="s">
        <v>53</v>
      </c>
      <c r="L56" s="24">
        <v>50</v>
      </c>
      <c r="M56" s="24">
        <v>50</v>
      </c>
      <c r="N56" s="25">
        <v>0</v>
      </c>
      <c r="O56" s="19" t="s">
        <v>65</v>
      </c>
      <c r="P56" s="23"/>
      <c r="Q56" s="26"/>
      <c r="R56" s="27"/>
      <c r="S56" s="27"/>
      <c r="T56" s="18"/>
      <c r="U56" s="27"/>
      <c r="V56" s="27"/>
      <c r="W56" s="27"/>
      <c r="X56" s="18" t="s">
        <v>32</v>
      </c>
      <c r="Y56" s="18">
        <v>2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5">
        <v>0</v>
      </c>
      <c r="DF56" s="46"/>
      <c r="DG56" s="41" t="s">
        <v>68</v>
      </c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7"/>
      <c r="EL56" s="8"/>
    </row>
    <row r="57" spans="2:142" s="5" customFormat="1" ht="14.25" customHeight="1" thickBot="1">
      <c r="B57" s="18">
        <f t="shared" si="2"/>
        <v>55</v>
      </c>
      <c r="C57" s="19" t="s">
        <v>112</v>
      </c>
      <c r="D57" s="19" t="s">
        <v>30</v>
      </c>
      <c r="E57" s="25">
        <v>1</v>
      </c>
      <c r="F57" s="21">
        <v>3</v>
      </c>
      <c r="G57" s="22" t="e">
        <f t="shared" ca="1" si="4"/>
        <v>#NAME?</v>
      </c>
      <c r="H57" s="22" t="e">
        <f t="shared" ca="1" si="3"/>
        <v>#NAME?</v>
      </c>
      <c r="I57" s="23"/>
      <c r="J57" s="23"/>
      <c r="K57" s="18" t="s">
        <v>53</v>
      </c>
      <c r="L57" s="24">
        <v>40</v>
      </c>
      <c r="M57" s="24">
        <v>40</v>
      </c>
      <c r="N57" s="25">
        <v>0</v>
      </c>
      <c r="O57" s="19" t="s">
        <v>67</v>
      </c>
      <c r="P57" s="23"/>
      <c r="Q57" s="26"/>
      <c r="R57" s="27"/>
      <c r="S57" s="27"/>
      <c r="T57" s="18"/>
      <c r="U57" s="27"/>
      <c r="V57" s="27"/>
      <c r="W57" s="27"/>
      <c r="X57" s="18" t="s">
        <v>32</v>
      </c>
      <c r="Y57" s="18">
        <v>2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5">
        <v>0</v>
      </c>
      <c r="DH57" s="46"/>
      <c r="DI57" s="46"/>
      <c r="DJ57" s="46"/>
      <c r="DK57" s="46"/>
      <c r="DL57" s="41" t="s">
        <v>70</v>
      </c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7"/>
      <c r="EL57" s="8"/>
    </row>
    <row r="58" spans="2:142" ht="14.25" customHeight="1">
      <c r="B58" s="28">
        <f t="shared" si="2"/>
        <v>56</v>
      </c>
      <c r="C58" s="29" t="s">
        <v>113</v>
      </c>
      <c r="D58" s="39"/>
      <c r="E58" s="35"/>
      <c r="F58" s="31">
        <v>6</v>
      </c>
      <c r="G58" s="32">
        <v>43222</v>
      </c>
      <c r="H58" s="32">
        <v>43229</v>
      </c>
      <c r="I58" s="33"/>
      <c r="J58" s="33"/>
      <c r="K58" s="28"/>
      <c r="L58" s="34"/>
      <c r="M58" s="34"/>
      <c r="N58" s="35">
        <v>0</v>
      </c>
      <c r="O58" s="29"/>
      <c r="P58" s="33"/>
      <c r="Q58" s="36"/>
      <c r="R58" s="37"/>
      <c r="S58" s="37"/>
      <c r="T58" s="28"/>
      <c r="U58" s="37"/>
      <c r="V58" s="37"/>
      <c r="W58" s="37"/>
      <c r="X58" s="28" t="s">
        <v>25</v>
      </c>
      <c r="Y58" s="28">
        <v>1</v>
      </c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2" t="s">
        <v>93</v>
      </c>
      <c r="DM58" s="43"/>
      <c r="DN58" s="43"/>
      <c r="DO58" s="43"/>
      <c r="DP58" s="43"/>
      <c r="DQ58" s="43"/>
      <c r="DR58" s="43"/>
      <c r="DS58" s="44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7"/>
      <c r="EL58" s="8"/>
    </row>
    <row r="59" spans="2:142" s="5" customFormat="1" ht="14.25" customHeight="1">
      <c r="B59" s="18">
        <f t="shared" si="2"/>
        <v>57</v>
      </c>
      <c r="C59" s="19" t="s">
        <v>114</v>
      </c>
      <c r="D59" s="19" t="s">
        <v>30</v>
      </c>
      <c r="E59" s="25">
        <v>1</v>
      </c>
      <c r="F59" s="21">
        <v>1</v>
      </c>
      <c r="G59" s="22" t="e">
        <f t="shared" ca="1" si="4"/>
        <v>#NAME?</v>
      </c>
      <c r="H59" s="22" t="e">
        <f t="shared" ca="1" si="3"/>
        <v>#NAME?</v>
      </c>
      <c r="I59" s="23"/>
      <c r="J59" s="23"/>
      <c r="K59" s="18" t="s">
        <v>53</v>
      </c>
      <c r="L59" s="24">
        <v>56</v>
      </c>
      <c r="M59" s="24">
        <v>56</v>
      </c>
      <c r="N59" s="25">
        <v>0</v>
      </c>
      <c r="O59" s="19" t="s">
        <v>69</v>
      </c>
      <c r="P59" s="23"/>
      <c r="Q59" s="26"/>
      <c r="R59" s="27"/>
      <c r="S59" s="27"/>
      <c r="T59" s="18"/>
      <c r="U59" s="27"/>
      <c r="V59" s="27"/>
      <c r="W59" s="27"/>
      <c r="X59" s="18" t="s">
        <v>32</v>
      </c>
      <c r="Y59" s="18">
        <v>2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5">
        <v>0</v>
      </c>
      <c r="DM59" s="41" t="s">
        <v>66</v>
      </c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7"/>
      <c r="EL59" s="8"/>
    </row>
    <row r="60" spans="2:142" s="5" customFormat="1" ht="14.25" customHeight="1">
      <c r="B60" s="18">
        <f t="shared" si="2"/>
        <v>58</v>
      </c>
      <c r="C60" s="19" t="s">
        <v>115</v>
      </c>
      <c r="D60" s="19" t="s">
        <v>30</v>
      </c>
      <c r="E60" s="25">
        <v>1</v>
      </c>
      <c r="F60" s="21">
        <v>2</v>
      </c>
      <c r="G60" s="22" t="e">
        <f t="shared" ca="1" si="4"/>
        <v>#NAME?</v>
      </c>
      <c r="H60" s="22" t="e">
        <f t="shared" ca="1" si="3"/>
        <v>#NAME?</v>
      </c>
      <c r="I60" s="23"/>
      <c r="J60" s="23"/>
      <c r="K60" s="18" t="s">
        <v>53</v>
      </c>
      <c r="L60" s="24">
        <v>50</v>
      </c>
      <c r="M60" s="24">
        <v>50</v>
      </c>
      <c r="N60" s="25">
        <v>0</v>
      </c>
      <c r="O60" s="19" t="s">
        <v>73</v>
      </c>
      <c r="P60" s="23"/>
      <c r="Q60" s="26"/>
      <c r="R60" s="27"/>
      <c r="S60" s="27"/>
      <c r="T60" s="18"/>
      <c r="U60" s="27"/>
      <c r="V60" s="27"/>
      <c r="W60" s="27"/>
      <c r="X60" s="18" t="s">
        <v>32</v>
      </c>
      <c r="Y60" s="18">
        <v>2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5">
        <v>0</v>
      </c>
      <c r="DN60" s="46"/>
      <c r="DO60" s="41" t="s">
        <v>68</v>
      </c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7"/>
      <c r="EL60" s="8"/>
    </row>
    <row r="61" spans="2:142" s="5" customFormat="1" ht="14.25" customHeight="1">
      <c r="B61" s="18">
        <f t="shared" si="2"/>
        <v>59</v>
      </c>
      <c r="C61" s="19" t="s">
        <v>116</v>
      </c>
      <c r="D61" s="19" t="s">
        <v>30</v>
      </c>
      <c r="E61" s="25">
        <v>1</v>
      </c>
      <c r="F61" s="21">
        <v>3</v>
      </c>
      <c r="G61" s="22" t="e">
        <f t="shared" ca="1" si="4"/>
        <v>#NAME?</v>
      </c>
      <c r="H61" s="22" t="e">
        <f t="shared" ca="1" si="3"/>
        <v>#NAME?</v>
      </c>
      <c r="I61" s="23"/>
      <c r="J61" s="23"/>
      <c r="K61" s="18" t="s">
        <v>53</v>
      </c>
      <c r="L61" s="24">
        <v>40</v>
      </c>
      <c r="M61" s="24">
        <v>40</v>
      </c>
      <c r="N61" s="25">
        <v>0</v>
      </c>
      <c r="O61" s="19" t="s">
        <v>74</v>
      </c>
      <c r="P61" s="23"/>
      <c r="Q61" s="26"/>
      <c r="R61" s="27"/>
      <c r="S61" s="27"/>
      <c r="T61" s="18"/>
      <c r="U61" s="27"/>
      <c r="V61" s="27"/>
      <c r="W61" s="27"/>
      <c r="X61" s="18" t="s">
        <v>32</v>
      </c>
      <c r="Y61" s="18">
        <v>2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5">
        <v>0</v>
      </c>
      <c r="DR61" s="46"/>
      <c r="DS61" s="46"/>
      <c r="DT61" s="41" t="s">
        <v>70</v>
      </c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7"/>
      <c r="EL61" s="8"/>
    </row>
    <row r="62" spans="2:142"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</row>
    <row r="63" spans="2:142"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</row>
    <row r="73" spans="9:9">
      <c r="I73" s="10"/>
    </row>
  </sheetData>
  <autoFilter ref="A2:EL61" xr:uid="{00000000-0009-0000-0000-000000000000}"/>
  <phoneticPr fontId="2" type="noConversion"/>
  <conditionalFormatting sqref="Z2:EL2">
    <cfRule type="cellIs" dxfId="1" priority="49" operator="equal">
      <formula>"Sun"</formula>
    </cfRule>
    <cfRule type="cellIs" dxfId="0" priority="50" operator="equal">
      <formula>"Sat"</formula>
    </cfRule>
  </conditionalFormatting>
  <conditionalFormatting sqref="N3:N2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{76F3BAFD-1248-4CFE-B22E-CD501B191BF2}</x14:id>
        </ext>
      </extLst>
    </cfRule>
  </conditionalFormatting>
  <conditionalFormatting sqref="N26:N34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{DF3F7B54-5DE2-4751-AEA9-911FFB581FCD}</x14:id>
        </ext>
      </extLst>
    </cfRule>
  </conditionalFormatting>
  <conditionalFormatting sqref="N35:N43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{0BD7839C-B207-49B6-926E-06E1051B5962}</x14:id>
        </ext>
      </extLst>
    </cfRule>
  </conditionalFormatting>
  <conditionalFormatting sqref="E3:E22 E26:E27 E3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{DD63C70E-987E-4964-B940-B8995908534F}</x14:id>
        </ext>
      </extLst>
    </cfRule>
  </conditionalFormatting>
  <conditionalFormatting sqref="N44:N5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{441E0589-451D-4FC7-8517-FE0B0DEBF4BA}</x14:id>
        </ext>
      </extLst>
    </cfRule>
  </conditionalFormatting>
  <conditionalFormatting sqref="N53:N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{A997170B-8CCB-41AA-B5D9-BAB38D48DB0E}</x14:id>
        </ext>
      </extLst>
    </cfRule>
  </conditionalFormatting>
  <conditionalFormatting sqref="E23:E2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{E248E64D-81F8-4CC0-8A30-CB9111F6ABFE}</x14:id>
        </ext>
      </extLst>
    </cfRule>
  </conditionalFormatting>
  <conditionalFormatting sqref="E28:E3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{0F466093-05F2-4EF0-9C52-E078EC8A49C8}</x14:id>
        </ext>
      </extLst>
    </cfRule>
  </conditionalFormatting>
  <conditionalFormatting sqref="E32:E3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{F76BE7ED-C4D4-40C8-9615-34E93E2567C8}</x14:id>
        </ext>
      </extLst>
    </cfRule>
  </conditionalFormatting>
  <conditionalFormatting sqref="E35:E40 E44:E45 E49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{F1B8C3D5-0780-4F9F-AAB8-03F5A4A6CD34}</x14:id>
        </ext>
      </extLst>
    </cfRule>
  </conditionalFormatting>
  <conditionalFormatting sqref="E41:E4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{2CE971D0-ED02-4019-AF64-0DC0A93F073B}</x14:id>
        </ext>
      </extLst>
    </cfRule>
  </conditionalFormatting>
  <conditionalFormatting sqref="E46:E4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{83DD9207-95F5-4F4C-9C3A-A5EF95629B61}</x14:id>
        </ext>
      </extLst>
    </cfRule>
  </conditionalFormatting>
  <conditionalFormatting sqref="E50:E52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{356BC822-618D-4AE5-8FD9-A6BDC35FEDB5}</x14:id>
        </ext>
      </extLst>
    </cfRule>
  </conditionalFormatting>
  <conditionalFormatting sqref="E53:E5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{D1155B65-12C7-4356-BDE2-D3BBECA622DF}</x14:id>
        </ext>
      </extLst>
    </cfRule>
  </conditionalFormatting>
  <conditionalFormatting sqref="E59:E6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{56F8E2D3-4FFF-41AE-B96E-14195121B6F3}</x14:id>
        </ext>
      </extLst>
    </cfRule>
  </conditionalFormatting>
  <dataValidations count="1">
    <dataValidation type="list" allowBlank="1" showInputMessage="1" showErrorMessage="1" sqref="O3:O61" xr:uid="{00000000-0002-0000-0000-000000000000}">
      <formula1>$C$3:$C$32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3BAFD-1248-4CFE-B22E-CD501B191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N3:N25</xm:sqref>
        </x14:conditionalFormatting>
        <x14:conditionalFormatting xmlns:xm="http://schemas.microsoft.com/office/excel/2006/main">
          <x14:cfRule type="dataBar" id="{DF3F7B54-5DE2-4751-AEA9-911FFB581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N26:N34</xm:sqref>
        </x14:conditionalFormatting>
        <x14:conditionalFormatting xmlns:xm="http://schemas.microsoft.com/office/excel/2006/main">
          <x14:cfRule type="dataBar" id="{0BD7839C-B207-49B6-926E-06E1051B5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N35:N43</xm:sqref>
        </x14:conditionalFormatting>
        <x14:conditionalFormatting xmlns:xm="http://schemas.microsoft.com/office/excel/2006/main">
          <x14:cfRule type="dataBar" id="{DD63C70E-987E-4964-B940-B89959085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E3:E22 E26:E27 E31</xm:sqref>
        </x14:conditionalFormatting>
        <x14:conditionalFormatting xmlns:xm="http://schemas.microsoft.com/office/excel/2006/main">
          <x14:cfRule type="dataBar" id="{441E0589-451D-4FC7-8517-FE0B0DEBF4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N44:N52</xm:sqref>
        </x14:conditionalFormatting>
        <x14:conditionalFormatting xmlns:xm="http://schemas.microsoft.com/office/excel/2006/main">
          <x14:cfRule type="dataBar" id="{A997170B-8CCB-41AA-B5D9-BAB38D48DB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N53:N61</xm:sqref>
        </x14:conditionalFormatting>
        <x14:conditionalFormatting xmlns:xm="http://schemas.microsoft.com/office/excel/2006/main">
          <x14:cfRule type="dataBar" id="{E248E64D-81F8-4CC0-8A30-CB9111F6A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E23:E25</xm:sqref>
        </x14:conditionalFormatting>
        <x14:conditionalFormatting xmlns:xm="http://schemas.microsoft.com/office/excel/2006/main">
          <x14:cfRule type="dataBar" id="{0F466093-05F2-4EF0-9C52-E078EC8A4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E28:E30</xm:sqref>
        </x14:conditionalFormatting>
        <x14:conditionalFormatting xmlns:xm="http://schemas.microsoft.com/office/excel/2006/main">
          <x14:cfRule type="dataBar" id="{F76BE7ED-C4D4-40C8-9615-34E93E256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E32:E34</xm:sqref>
        </x14:conditionalFormatting>
        <x14:conditionalFormatting xmlns:xm="http://schemas.microsoft.com/office/excel/2006/main">
          <x14:cfRule type="dataBar" id="{F1B8C3D5-0780-4F9F-AAB8-03F5A4A6CD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E35:E40 E44:E45 E49</xm:sqref>
        </x14:conditionalFormatting>
        <x14:conditionalFormatting xmlns:xm="http://schemas.microsoft.com/office/excel/2006/main">
          <x14:cfRule type="dataBar" id="{2CE971D0-ED02-4019-AF64-0DC0A93F0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E41:E43</xm:sqref>
        </x14:conditionalFormatting>
        <x14:conditionalFormatting xmlns:xm="http://schemas.microsoft.com/office/excel/2006/main">
          <x14:cfRule type="dataBar" id="{83DD9207-95F5-4F4C-9C3A-A5EF95629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E46:E48</xm:sqref>
        </x14:conditionalFormatting>
        <x14:conditionalFormatting xmlns:xm="http://schemas.microsoft.com/office/excel/2006/main">
          <x14:cfRule type="dataBar" id="{356BC822-618D-4AE5-8FD9-A6BDC35FED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E50:E52</xm:sqref>
        </x14:conditionalFormatting>
        <x14:conditionalFormatting xmlns:xm="http://schemas.microsoft.com/office/excel/2006/main">
          <x14:cfRule type="dataBar" id="{D1155B65-12C7-4356-BDE2-D3BBECA622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E53:E58</xm:sqref>
        </x14:conditionalFormatting>
        <x14:conditionalFormatting xmlns:xm="http://schemas.microsoft.com/office/excel/2006/main">
          <x14:cfRule type="dataBar" id="{56F8E2D3-4FFF-41AE-B96E-14195121B6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E59:E61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Data!$B$4:$B$14</xm:f>
          </x14:formula1>
          <xm:sqref>D3:D61</xm:sqref>
        </x14:dataValidation>
        <x14:dataValidation type="list" allowBlank="1" showInputMessage="1" showErrorMessage="1" xr:uid="{00000000-0002-0000-0000-000002000000}">
          <x14:formula1>
            <xm:f>Data!$E$4:$E$6</xm:f>
          </x14:formula1>
          <xm:sqref>K3:K61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0"/>
  <sheetViews>
    <sheetView showGridLines="0" workbookViewId="0">
      <selection activeCell="B6" sqref="B6"/>
    </sheetView>
  </sheetViews>
  <sheetFormatPr defaultRowHeight="14.35"/>
  <cols>
    <col min="1" max="1" width="5.46875" customWidth="1"/>
    <col min="3" max="4" width="10" bestFit="1" customWidth="1"/>
    <col min="5" max="5" width="11" bestFit="1" customWidth="1"/>
  </cols>
  <sheetData>
    <row r="1" spans="1:1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4">
      <c r="C2" s="1"/>
    </row>
    <row r="3" spans="1:14">
      <c r="B3" s="12" t="s">
        <v>117</v>
      </c>
      <c r="C3" s="12" t="s">
        <v>118</v>
      </c>
      <c r="D3" s="12" t="s">
        <v>119</v>
      </c>
      <c r="E3" s="14" t="s">
        <v>9</v>
      </c>
    </row>
    <row r="4" spans="1:14">
      <c r="B4" s="13" t="s">
        <v>120</v>
      </c>
      <c r="C4" s="16">
        <v>43128</v>
      </c>
      <c r="D4" s="16">
        <v>43134</v>
      </c>
      <c r="E4" s="15" t="s">
        <v>35</v>
      </c>
    </row>
    <row r="5" spans="1:14">
      <c r="B5" s="13" t="s">
        <v>121</v>
      </c>
      <c r="C5" s="16">
        <v>43129</v>
      </c>
      <c r="D5" s="16">
        <v>43141</v>
      </c>
      <c r="E5" s="15" t="s">
        <v>122</v>
      </c>
    </row>
    <row r="6" spans="1:14">
      <c r="B6" s="13" t="s">
        <v>123</v>
      </c>
      <c r="C6" s="16">
        <v>43151</v>
      </c>
      <c r="D6" s="13"/>
      <c r="E6" s="15" t="s">
        <v>124</v>
      </c>
    </row>
    <row r="7" spans="1:14">
      <c r="B7" s="13"/>
      <c r="C7" s="16"/>
      <c r="D7" s="13"/>
      <c r="E7" s="6"/>
    </row>
    <row r="8" spans="1:14">
      <c r="B8" s="13"/>
      <c r="C8" s="16"/>
      <c r="D8" s="13"/>
      <c r="E8" s="6"/>
      <c r="G8" s="2"/>
    </row>
    <row r="9" spans="1:14">
      <c r="B9" s="13"/>
      <c r="C9" s="13"/>
      <c r="D9" s="13"/>
      <c r="E9" s="6"/>
      <c r="G9" s="2"/>
    </row>
    <row r="10" spans="1:14">
      <c r="B10" s="13"/>
      <c r="C10" s="13"/>
      <c r="D10" s="13"/>
      <c r="E10" s="6"/>
    </row>
    <row r="11" spans="1:14">
      <c r="B11" s="13"/>
      <c r="C11" s="13"/>
      <c r="D11" s="13"/>
      <c r="E11" s="6"/>
      <c r="G11" s="2"/>
    </row>
    <row r="12" spans="1:14">
      <c r="B12" s="13"/>
      <c r="C12" s="13"/>
      <c r="D12" s="13"/>
      <c r="E12" s="6"/>
      <c r="G12" s="2"/>
    </row>
    <row r="13" spans="1:14">
      <c r="B13" s="13"/>
      <c r="C13" s="13"/>
      <c r="D13" s="13"/>
      <c r="E13" s="6"/>
      <c r="G13" s="2"/>
    </row>
    <row r="14" spans="1:14">
      <c r="B14" s="13"/>
      <c r="C14" s="13"/>
      <c r="D14" s="13"/>
      <c r="E14" s="6"/>
    </row>
    <row r="15" spans="1:14">
      <c r="B15" s="17"/>
      <c r="C15" s="17"/>
      <c r="D15" s="17"/>
    </row>
    <row r="16" spans="1:14">
      <c r="B16" s="17"/>
      <c r="C16" s="17"/>
      <c r="D16" s="17"/>
    </row>
    <row r="17" spans="2:4">
      <c r="B17" s="17"/>
      <c r="C17" s="17"/>
      <c r="D17" s="17"/>
    </row>
    <row r="18" spans="2:4">
      <c r="B18" s="17"/>
      <c r="C18" s="17"/>
      <c r="D18" s="17"/>
    </row>
    <row r="19" spans="2:4">
      <c r="B19" s="17"/>
      <c r="C19" s="17"/>
      <c r="D19" s="17"/>
    </row>
    <row r="20" spans="2:4">
      <c r="B20" s="17"/>
      <c r="C20" s="17"/>
      <c r="D20" s="1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WBS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ghost</dc:creator>
  <cp:keywords/>
  <dc:description/>
  <cp:lastModifiedBy>Trung Anh Vu</cp:lastModifiedBy>
  <cp:revision/>
  <dcterms:created xsi:type="dcterms:W3CDTF">2018-01-15T12:29:28Z</dcterms:created>
  <dcterms:modified xsi:type="dcterms:W3CDTF">2025-07-05T08:46:55Z</dcterms:modified>
  <cp:category/>
  <cp:contentStatus/>
</cp:coreProperties>
</file>